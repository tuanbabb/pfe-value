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FE Roadmap Backlog" sheetId="1" state="visible" r:id="rId3"/>
    <sheet name="Pain Points Master" sheetId="2" state="visible" r:id="rId4"/>
    <sheet name="MVP Scope (May T4)" sheetId="3" state="visible" r:id="rId5"/>
    <sheet name="Migration Math (O2KR1)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<sst xmlns="http://schemas.openxmlformats.org/spreadsheetml/2006/main" count="396" uniqueCount="247">
  <si>
    <t xml:space="preserve">#</t>
  </si>
  <si>
    <t xml:space="preserve">Feature</t>
  </si>
  <si>
    <t xml:space="preserve">Category</t>
  </si>
  <si>
    <t xml:space="preserve">Source Signal (Crisp)</t>
  </si>
  <si>
    <t xml:space="preserve">Reqs in 60d</t>
  </si>
  <si>
    <t xml:space="preserve">User Value (1-10)</t>
  </si>
  <si>
    <t xml:space="preserve">Build Complexity (1=E,2=M,3=H)</t>
  </si>
  <si>
    <t xml:space="preserve">Composite Score</t>
  </si>
  <si>
    <t xml:space="preserve">Priority Tier</t>
  </si>
  <si>
    <t xml:space="preserve">Target Release</t>
  </si>
  <si>
    <t xml:space="preserve">Status</t>
  </si>
  <si>
    <t xml:space="preserve">Owner</t>
  </si>
  <si>
    <t xml:space="preserve">Notes</t>
  </si>
  <si>
    <t xml:space="preserve">Section Library + Version Control</t>
  </si>
  <si>
    <t xml:space="preserve">Power Feature</t>
  </si>
  <si>
    <r>
      <rPr>
        <sz val="11"/>
        <color theme="1"/>
        <rFont val="Calibri"/>
        <family val="2"/>
        <charset val="1"/>
      </rPr>
      <t xml:space="preserve">LEVEL8 Group save section on draft theme; </t>
    </r>
    <r>
      <rPr>
        <sz val="11"/>
        <color theme="1"/>
        <rFont val="DejaVu Sans"/>
        <family val="2"/>
      </rPr>
      <t xml:space="preserve">嘉業 陳 </t>
    </r>
    <r>
      <rPr>
        <sz val="11"/>
        <color theme="1"/>
        <rFont val="Calibri"/>
        <family val="2"/>
        <charset val="1"/>
      </rPr>
      <t xml:space="preserve">version history; 4+ reqs</t>
    </r>
  </si>
  <si>
    <t xml:space="preserve">MVP+1</t>
  </si>
  <si>
    <t xml:space="preserve">Q3 T7-T8</t>
  </si>
  <si>
    <t xml:space="preserve">Backlog</t>
  </si>
  <si>
    <t xml:space="preserve">Engineering TBD</t>
  </si>
  <si>
    <t xml:space="preserve">Killer feature for marketing teams &gt;3 people; rollback any deploy</t>
  </si>
  <si>
    <t xml:space="preserve">Pre-publish QA Checker</t>
  </si>
  <si>
    <t xml:space="preserve">Stability</t>
  </si>
  <si>
    <t xml:space="preserve">Greece Dev Team Cannot put HTML; shirley wong recurring; 5+ reqs</t>
  </si>
  <si>
    <t xml:space="preserve">Q3 T8</t>
  </si>
  <si>
    <t xml:space="preserve">Validate HTML/Liquid before push live; prevents publish-blocking bugs</t>
  </si>
  <si>
    <t xml:space="preserve">Auto Rollback on Publish Fail</t>
  </si>
  <si>
    <t xml:space="preserve">Orly Admin Page not publishing; 3+ reqs</t>
  </si>
  <si>
    <t xml:space="preserve">Q3 T7</t>
  </si>
  <si>
    <t xml:space="preserve">1-click revert to last working version</t>
  </si>
  <si>
    <t xml:space="preserve">Team Roles &amp; Permissions</t>
  </si>
  <si>
    <t xml:space="preserve">Multi-store ops</t>
  </si>
  <si>
    <t xml:space="preserve">Behram B colleague unable to use; 4+ reqs</t>
  </si>
  <si>
    <t xml:space="preserve">MVP+2</t>
  </si>
  <si>
    <t xml:space="preserve">Q3 T9</t>
  </si>
  <si>
    <t xml:space="preserve">Admin/Editor/Viewer roles, audit log; required for brands &gt;5 marketers</t>
  </si>
  <si>
    <t xml:space="preserve">Audit Log</t>
  </si>
  <si>
    <t xml:space="preserve">Implicit from Team Roles need</t>
  </si>
  <si>
    <t xml:space="preserve">Track who edited what when; compliance for Plus merchants</t>
  </si>
  <si>
    <t xml:space="preserve">One-Click Cache Purge</t>
  </si>
  <si>
    <t xml:space="preserve">Quick Win</t>
  </si>
  <si>
    <t xml:space="preserve">camilla krøyer cache update; 2+ reqs</t>
  </si>
  <si>
    <t xml:space="preserve">Force CDN refresh button; small but high frequency</t>
  </si>
  <si>
    <t xml:space="preserve">Header/Footer Per-page Toggle</t>
  </si>
  <si>
    <t xml:space="preserve">RONG WANG, Alex Wainshtok, Moving Life, Dev Team; 7+ reqs</t>
  </si>
  <si>
    <t xml:space="preserve">UI toggle currently needs CSS hack; high vol low effort</t>
  </si>
  <si>
    <t xml:space="preserve">Liquid Editor Mode (Dev-friendly)</t>
  </si>
  <si>
    <t xml:space="preserve">Spain Dev Team liquid in HTML; Sylvain Do bug line 709; 6+ reqs</t>
  </si>
  <si>
    <t xml:space="preserve">Q3 T8-T9</t>
  </si>
  <si>
    <t xml:space="preserve">Direct Liquid injection for devs; differentiator vs Free/Pay</t>
  </si>
  <si>
    <t xml:space="preserve">256kb Asset Auto-Compression</t>
  </si>
  <si>
    <t xml:space="preserve">ACEMAGIC, Jia Han, Redododo; 4+ recurring 256kb errors</t>
  </si>
  <si>
    <t xml:space="preserve">Bypass Shopify limit silently; recurring root-cause not fixed</t>
  </si>
  <si>
    <t xml:space="preserve">Page Size Limit Warnings (proactive)</t>
  </si>
  <si>
    <t xml:space="preserve">xTool exceeded; Vishal Attal; DTF Center; 12+ reqs in 60d</t>
  </si>
  <si>
    <t xml:space="preserve">Proactive UI alerts before hit Shopify cap</t>
  </si>
  <si>
    <t xml:space="preserve">Cross-store Section Library</t>
  </si>
  <si>
    <t xml:space="preserve">Multi-store implied need (Dev Team x5 stores)</t>
  </si>
  <si>
    <t xml:space="preserve">Q3 T9 or Q4</t>
  </si>
  <si>
    <t xml:space="preserve">Share design assets across portfolio stores; high value low usage upfront</t>
  </si>
  <si>
    <t xml:space="preserve">GA4 + Klaviyo Native Sync</t>
  </si>
  <si>
    <t xml:space="preserve">Analytics</t>
  </si>
  <si>
    <t xml:space="preserve">Karan Arora analytics broken; 5+ reqs</t>
  </si>
  <si>
    <t xml:space="preserve">Q4 T10</t>
  </si>
  <si>
    <t xml:space="preserve">Native sync to bypass PF analytics flakiness</t>
  </si>
  <si>
    <t xml:space="preserve">Centralized Multi-store Billing</t>
  </si>
  <si>
    <t xml:space="preserve">Implicit from Multi-store license play</t>
  </si>
  <si>
    <t xml:space="preserve">MVP+1 (paired with Multi-store license)</t>
  </si>
  <si>
    <t xml:space="preserve">Engineering + Finance</t>
  </si>
  <si>
    <t xml:space="preserve">1 invoice for all stores; required for license enforcement</t>
  </si>
  <si>
    <t xml:space="preserve">GEN1 → GEN2 Migration Tooling</t>
  </si>
  <si>
    <t xml:space="preserve">Migration</t>
  </si>
  <si>
    <t xml:space="preserve">Jay Zhou wanted upgrade not possible; 2+ reqs</t>
  </si>
  <si>
    <t xml:space="preserve">Done-for-you migration tool; reduces TS manual hours</t>
  </si>
  <si>
    <t xml:space="preserve">Theme Upgrade Audit Tool</t>
  </si>
  <si>
    <t xml:space="preserve">Ben Simpson app update broke pages; Curtis Fry; 6+ reqs</t>
  </si>
  <si>
    <t xml:space="preserve">Auto-check theme conflict before merchant updates</t>
  </si>
  <si>
    <t xml:space="preserve">Slack Channel Integration (per merchant)</t>
  </si>
  <si>
    <t xml:space="preserve">Support Pod</t>
  </si>
  <si>
    <t xml:space="preserve">Tony's vision: dedicated Slack vs Crisp queue</t>
  </si>
  <si>
    <t xml:space="preserve">MVP</t>
  </si>
  <si>
    <t xml:space="preserve">May (T4)</t>
  </si>
  <si>
    <t xml:space="preserve">In design</t>
  </si>
  <si>
    <t xml:space="preserve">Tú + Tony</t>
  </si>
  <si>
    <t xml:space="preserve">Manual setup ok for first 20 PFE merchants; automate later</t>
  </si>
  <si>
    <t xml:space="preserve">PFE Onboarding Video</t>
  </si>
  <si>
    <t xml:space="preserve">OKR todo (DUE end of May)</t>
  </si>
  <si>
    <t xml:space="preserve">Pending recording</t>
  </si>
  <si>
    <t xml:space="preserve">Tony</t>
  </si>
  <si>
    <t xml:space="preserve">Replacement for old onboarding videos; face + screen recording</t>
  </si>
  <si>
    <t xml:space="preserve">Dedicated TS Pod Workflow Doc</t>
  </si>
  <si>
    <t xml:space="preserve">Tú lead pod; need operating manual</t>
  </si>
  <si>
    <t xml:space="preserve">TBD</t>
  </si>
  <si>
    <t xml:space="preserve">Tú + Lâm</t>
  </si>
  <si>
    <t xml:space="preserve">SLA tools, escalation flow, build-help capacity planning</t>
  </si>
  <si>
    <t xml:space="preserve">Customer.io Migration Email Sequence</t>
  </si>
  <si>
    <t xml:space="preserve">OKR todo: Customer.io email</t>
  </si>
  <si>
    <t xml:space="preserve">Tony + Marketing</t>
  </si>
  <si>
    <t xml:space="preserve">4-touch sequence for 1,171 Unlimited+Platinum merchants</t>
  </si>
  <si>
    <t xml:space="preserve">Migration Landing Page (pagefly.io/enterprise)</t>
  </si>
  <si>
    <t xml:space="preserve">OKR todo: Migration landing page</t>
  </si>
  <si>
    <t xml:space="preserve">Tony + Web team</t>
  </si>
  <si>
    <t xml:space="preserve">External page for non-app traffic; different from in-app pricing</t>
  </si>
  <si>
    <t xml:space="preserve">In-app Banner (PFE preview invite)</t>
  </si>
  <si>
    <t xml:space="preserve">Drives merchants to /apps/pagefly/pricing</t>
  </si>
  <si>
    <t xml:space="preserve">Copy ready</t>
  </si>
  <si>
    <t xml:space="preserve">Tony + Engineering</t>
  </si>
  <si>
    <t xml:space="preserve">5 variants drafted in PFE-Banner-Copy-Variants.md</t>
  </si>
  <si>
    <t xml:space="preserve">PFE Pricing Modal (in-app)</t>
  </si>
  <si>
    <t xml:space="preserve">T's vision: dynamic pricing, Talk to us flow</t>
  </si>
  <si>
    <t xml:space="preserve">Mockup ready</t>
  </si>
  <si>
    <t xml:space="preserve">Mockup v2 ready; engineering build needed</t>
  </si>
  <si>
    <t xml:space="preserve">Talk-to-Tony Form Submission Routing</t>
  </si>
  <si>
    <t xml:space="preserve">T wants direct submissions to him</t>
  </si>
  <si>
    <t xml:space="preserve">Form submits → email/Slack to Tony; Tony + Boo AI co-handle reply</t>
  </si>
  <si>
    <t xml:space="preserve">Pain Point</t>
  </si>
  <si>
    <t xml:space="preserve">Reqs (60d)</t>
  </si>
  <si>
    <t xml:space="preserve">ROI Impact (1-10)</t>
  </si>
  <si>
    <t xml:space="preserve">Implementation (1-3)</t>
  </si>
  <si>
    <t xml:space="preserve">PFE Buy Prob (1-10)</t>
  </si>
  <si>
    <t xml:space="preserve">Total Acquisition Score</t>
  </si>
  <si>
    <t xml:space="preserve">Buy Prob Reasoning</t>
  </si>
  <si>
    <t xml:space="preserve">PFE Tier</t>
  </si>
  <si>
    <t xml:space="preserve">PFE Positioning Angle</t>
  </si>
  <si>
    <t xml:space="preserve">Multi-store / Multi-shop usage</t>
  </si>
  <si>
    <t xml:space="preserve">No-brainer cho multi-store brands. Direct cost saving ($199 × N stores → 1 license). Operational efficiency rõ ràng.</t>
  </si>
  <si>
    <t xml:space="preserve">Multi-Store License: Bundle B $299 = up to 3 stores. Custom $50/extra store. Pay-as-you-grow.</t>
  </si>
  <si>
    <t xml:space="preserve">Editor errors / publish-blocking bugs</t>
  </si>
  <si>
    <t xml:space="preserve">Plus merchants $1M+ GMV không chấp nhận downtime. Tech Lead priority queue = peace of mind. Top frequency.</t>
  </si>
  <si>
    <t xml:space="preserve">Tech Lead priority queue + ASAP. Pre-publish QA + Auto-rollback (roadmap).</t>
  </si>
  <si>
    <t xml:space="preserve">Save/Reuse Section + Version History</t>
  </si>
  <si>
    <t xml:space="preserve">Marketing teams &gt;3 ppl LOVE this. Version control = safety net rollback. Strong appeal team-based.</t>
  </si>
  <si>
    <t xml:space="preserve">Section Library + Version Control (roadmap). Global library cross-store, rollback any deploy.</t>
  </si>
  <si>
    <t xml:space="preserve">Team access / collaborator permissions</t>
  </si>
  <si>
    <t xml:space="preserve">Plus brands có nhiều staff = operational must-have. Compliance need (audit log) cho enterprise.</t>
  </si>
  <si>
    <t xml:space="preserve">Team Roles &amp; Permissions + Audit Log (roadmap). Admin/Editor/Viewer. Critical brands &gt;5 marketers.</t>
  </si>
  <si>
    <t xml:space="preserve">Page size / Shopify limits (256kb)</t>
  </si>
  <si>
    <t xml:space="preserve">Recurring annoyance (4+ same merchant repeats). Auto-compression = quality of life. High frustration drives upgrade.</t>
  </si>
  <si>
    <t xml:space="preserve">256kb Auto-Compression + Page Size Warnings (roadmap). Bypass Shopify limits silently.</t>
  </si>
  <si>
    <t xml:space="preserve">Theme update / migration issues</t>
  </si>
  <si>
    <t xml:space="preserve">High pain WHEN occurs nhưng low frequency (1-2x/year). Migration concierge $500-2K one-time more attractive.</t>
  </si>
  <si>
    <t xml:space="preserve">Migration Concierge Service. Theme upgrade audit, GEN1→GEN2 done-for-you. One-time $500-2000.</t>
  </si>
  <si>
    <t xml:space="preserve">Variant / Product page customization</t>
  </si>
  <si>
    <t xml:space="preserve">Important cho product-heavy merchants (skincare/fashion/electronics). Niche nhưng deep pain — willing to pay.</t>
  </si>
  <si>
    <t xml:space="preserve">Product Page Power Pack: metafield-driven dynamic content, advanced variant logic, dynamic ATC.</t>
  </si>
  <si>
    <t xml:space="preserve">Custom code / Liquid / advanced CSS</t>
  </si>
  <si>
    <t xml:space="preserve">Plus merchants thường có dev team self-serve. PFE Liquid Editor = marginal value cho non-dev marketers.</t>
  </si>
  <si>
    <t xml:space="preserve">Liquid Editor Mode (roadmap). Direct code injection. Differentiator vs Free/Pay (drag-drop only).</t>
  </si>
  <si>
    <t xml:space="preserve">PageFly Analytics not working</t>
  </si>
  <si>
    <t xml:space="preserve">Plus merchants dùng GA4 + Klaviyo native anyway. PFE Analytics layer = useful nhưng có alternative.</t>
  </si>
  <si>
    <t xml:space="preserve">GA4 + Klaviyo Native Sync (roadmap). PFE-only event tracking, weekly auto report.</t>
  </si>
  <si>
    <t xml:space="preserve">Header/Footer per-page hide</t>
  </si>
  <si>
    <t xml:space="preserve">CSS hack works fine. Too small alone justify upgrade. Quick win cho roadmap nhưng không drive purchase decision.</t>
  </si>
  <si>
    <t xml:space="preserve">Layout Control PRO: UI-level toggle. Quick win ship sớm cho proof. Bundle bonus, không primary.</t>
  </si>
  <si>
    <t xml:space="preserve">3rd-party integration / popup</t>
  </si>
  <si>
    <t xml:space="preserve">Issue ở 3rd-party app, không PageFly. Plus merchants có dev team handle. Not core PageFly value.</t>
  </si>
  <si>
    <t xml:space="preserve">PFE Integration Hub: pre-tested top 20 Shopify apps. Bonus value, không primary driver.</t>
  </si>
  <si>
    <t xml:space="preserve">Cache / republish issues</t>
  </si>
  <si>
    <t xml:space="preserve">Small frequency, easy workaround (clear browser cache). Too small to drive purchase decision.</t>
  </si>
  <si>
    <t xml:space="preserve">One-Click Cache Purge button. Nhỏ nhưng giảm tickets.</t>
  </si>
  <si>
    <t xml:space="preserve">Pillar</t>
  </si>
  <si>
    <t xml:space="preserve">Due</t>
  </si>
  <si>
    <t xml:space="preserve">CS Layer</t>
  </si>
  <si>
    <t xml:space="preserve">Dedicated TS Pod operating model</t>
  </si>
  <si>
    <t xml:space="preserve">May 15</t>
  </si>
  <si>
    <t xml:space="preserve">Pod = 2-3 senior TS; SLA &lt;2h response</t>
  </si>
  <si>
    <t xml:space="preserve">Slack channel per merchant</t>
  </si>
  <si>
    <t xml:space="preserve">May 20</t>
  </si>
  <si>
    <t xml:space="preserve">Manual setup OK for first 20</t>
  </si>
  <si>
    <t xml:space="preserve">Boo AI Agent first-touch</t>
  </si>
  <si>
    <t xml:space="preserve">Existing</t>
  </si>
  <si>
    <t xml:space="preserve">Lâm</t>
  </si>
  <si>
    <t xml:space="preserve">Live</t>
  </si>
  <si>
    <t xml:space="preserve">Already operational; no new build needed</t>
  </si>
  <si>
    <t xml:space="preserve">Talk-to-Tony form routing</t>
  </si>
  <si>
    <t xml:space="preserve">Form → email/Slack DM to Tony</t>
  </si>
  <si>
    <t xml:space="preserve">Pricing</t>
  </si>
  <si>
    <t xml:space="preserve">PFE Pricing modal (in-app)</t>
  </si>
  <si>
    <t xml:space="preserve">v2 mockup HTML ready for build</t>
  </si>
  <si>
    <t xml:space="preserve">PFE column added to /apps/pagefly/pricing</t>
  </si>
  <si>
    <t xml:space="preserve">Engineering</t>
  </si>
  <si>
    <t xml:space="preserve">May 25</t>
  </si>
  <si>
    <t xml:space="preserve">Replace Huy's Enterprise $199 with PFE positioning</t>
  </si>
  <si>
    <t xml:space="preserve">Custom quote workflow (Bundle A/B/Custom)</t>
  </si>
  <si>
    <t xml:space="preserve">Backend logic for custom add-ons pricing</t>
  </si>
  <si>
    <t xml:space="preserve">Customer.io email sequence (4 touches)</t>
  </si>
  <si>
    <t xml:space="preserve">May 18</t>
  </si>
  <si>
    <t xml:space="preserve">Day 0 welcome, Day 3 use case, Day 7 success, Day 12 reminder</t>
  </si>
  <si>
    <t xml:space="preserve">In-app banner (5 variants)</t>
  </si>
  <si>
    <t xml:space="preserve">May 12</t>
  </si>
  <si>
    <t xml:space="preserve">5 variants in PFE-Banner-Copy-Variants.md</t>
  </si>
  <si>
    <t xml:space="preserve">PFE Onboarding video record</t>
  </si>
  <si>
    <t xml:space="preserve">Pending</t>
  </si>
  <si>
    <t xml:space="preserve">End of May</t>
  </si>
  <si>
    <t xml:space="preserve">OKR todo; replacement for old videos</t>
  </si>
  <si>
    <t xml:space="preserve">Migration landing page pagefly.io/enterprise</t>
  </si>
  <si>
    <t xml:space="preserve">May 22</t>
  </si>
  <si>
    <t xml:space="preserve">External page for non-app traffic</t>
  </si>
  <si>
    <t xml:space="preserve">AI/CRO buff</t>
  </si>
  <si>
    <t xml:space="preserve">2x AI credits for PFE (600K/mo)</t>
  </si>
  <si>
    <t xml:space="preserve">Already in roadmap</t>
  </si>
  <si>
    <t xml:space="preserve">Huy 2K2</t>
  </si>
  <si>
    <t xml:space="preserve">Per Confluence Unified Credit System; PFE = 600K/mo</t>
  </si>
  <si>
    <t xml:space="preserve">Smart Pages access (early users)</t>
  </si>
  <si>
    <t xml:space="preserve">Already accessible to PFE-equiv tier</t>
  </si>
  <si>
    <t xml:space="preserve">Full CRO suite (Sales funnel, Heatmap, A/B test)</t>
  </si>
  <si>
    <t xml:space="preserve">Inherited from Unlimited tier</t>
  </si>
  <si>
    <t xml:space="preserve">Multi-store</t>
  </si>
  <si>
    <t xml:space="preserve">Multi-store license enforcement (up to 10)</t>
  </si>
  <si>
    <t xml:space="preserve">License key per brand, not per store</t>
  </si>
  <si>
    <t xml:space="preserve">Centralized billing (1 invoice all stores)</t>
  </si>
  <si>
    <t xml:space="preserve">Required for license enforcement</t>
  </si>
  <si>
    <t xml:space="preserve">Tracking</t>
  </si>
  <si>
    <t xml:space="preserve">Mixpanel events: pfe_banner_*, pfe_modal_*</t>
  </si>
  <si>
    <t xml:space="preserve">Track CTR, modal conversion, form submission</t>
  </si>
  <si>
    <t xml:space="preserve">PFE Migration Math — O2KR1 Target (v1.2 pricing $299/$499)</t>
  </si>
  <si>
    <t xml:space="preserve">Source pool</t>
  </si>
  <si>
    <t xml:space="preserve">Unlimited $99 merchants</t>
  </si>
  <si>
    <t xml:space="preserve">Platinum $99 merchants</t>
  </si>
  <si>
    <t xml:space="preserve">Total pool</t>
  </si>
  <si>
    <t xml:space="preserve">OKR Target</t>
  </si>
  <si>
    <t xml:space="preserve">Target merchants upgrade</t>
  </si>
  <si>
    <t xml:space="preserve">Conversion rate</t>
  </si>
  <si>
    <t xml:space="preserve">Target MRR Q2</t>
  </si>
  <si>
    <t xml:space="preserve">Avg revenue per upgraded merchant</t>
  </si>
  <si>
    <t xml:space="preserve">Pricing Scenarios</t>
  </si>
  <si>
    <t xml:space="preserve">Scenario</t>
  </si>
  <si>
    <t xml:space="preserve">Bundle A % ($299)</t>
  </si>
  <si>
    <t xml:space="preserve">Bundle B % ($499)</t>
  </si>
  <si>
    <t xml:space="preserve">Custom % (~$699)</t>
  </si>
  <si>
    <t xml:space="preserve">Avg ARPU</t>
  </si>
  <si>
    <t xml:space="preserve">Note</t>
  </si>
  <si>
    <t xml:space="preserve">Conservative</t>
  </si>
  <si>
    <t xml:space="preserve">60% take entry; 35% mid; 5% custom</t>
  </si>
  <si>
    <t xml:space="preserve">Balanced</t>
  </si>
  <si>
    <t xml:space="preserve">40/50/10 split — most realistic</t>
  </si>
  <si>
    <t xml:space="preserve">Aggressive</t>
  </si>
  <si>
    <t xml:space="preserve">20/55/25 — Plus brands gain confidence</t>
  </si>
  <si>
    <t xml:space="preserve">Lộ trình tháng</t>
  </si>
  <si>
    <t xml:space="preserve">Tháng</t>
  </si>
  <si>
    <t xml:space="preserve">Cumulative merchants</t>
  </si>
  <si>
    <t xml:space="preserve">MRR (Conservative ARPU)</t>
  </si>
  <si>
    <t xml:space="preserve">MRR (Balanced ARPU)</t>
  </si>
  <si>
    <t xml:space="preserve">T4 (May)</t>
  </si>
  <si>
    <t xml:space="preserve">T5 (Jun)</t>
  </si>
  <si>
    <t xml:space="preserve">T6 (Jul)</t>
  </si>
  <si>
    <t xml:space="preserve">Hit OKR Target $52K?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</si>
</sst>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0"/>
    <numFmt numFmtId="167" formatCode="0.0%"/>
    <numFmt numFmtId="168" formatCode="\$#,##0"/>
    <numFmt numFmtId="169" formatCode="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sz val="11"/>
      <color theme="1"/>
      <name val="DejaVu Sans"/>
      <family val="2"/>
    </font>
    <font>
      <b val="true"/>
      <sz val="14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008060"/>
      <name val="Cambria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A3D2C"/>
        <bgColor rgb="FF333300"/>
      </patternFill>
    </fill>
    <fill>
      <patternFill patternType="solid">
        <fgColor rgb="FFDBEAFE"/>
        <bgColor rgb="FFE0E7FF"/>
      </patternFill>
    </fill>
    <fill>
      <patternFill patternType="solid">
        <fgColor rgb="FFFEF3C7"/>
        <bgColor rgb="FFFEF0C7"/>
      </patternFill>
    </fill>
    <fill>
      <patternFill patternType="solid">
        <fgColor rgb="FFD1FADF"/>
        <bgColor rgb="FFDBEAFE"/>
      </patternFill>
    </fill>
    <fill>
      <patternFill patternType="solid">
        <fgColor rgb="FFF3E8FF"/>
        <bgColor rgb="FFE0E7FF"/>
      </patternFill>
    </fill>
    <fill>
      <patternFill patternType="solid">
        <fgColor rgb="FFFEE4E2"/>
        <bgColor rgb="FFF3E8FF"/>
      </patternFill>
    </fill>
    <fill>
      <patternFill patternType="solid">
        <fgColor rgb="FFE0E7FF"/>
        <bgColor rgb="FFDBEAFE"/>
      </patternFill>
    </fill>
    <fill>
      <patternFill patternType="solid">
        <fgColor rgb="FFE3E5E7"/>
        <bgColor rgb="FFE0E7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D1FADF"/>
        </patternFill>
      </fill>
    </dxf>
    <dxf>
      <fill>
        <patternFill>
          <bgColor rgb="FFFEF0C7"/>
        </patternFill>
      </fill>
    </dxf>
    <dxf>
      <fill>
        <patternFill>
          <bgColor rgb="FFFEE4E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60"/>
      <rgbColor rgb="FFF3E8FF"/>
      <rgbColor rgb="FF808080"/>
      <rgbColor rgb="FF9999FF"/>
      <rgbColor rgb="FF993366"/>
      <rgbColor rgb="FFFEF3C7"/>
      <rgbColor rgb="FFDBEAFE"/>
      <rgbColor rgb="FF660066"/>
      <rgbColor rgb="FFFF8080"/>
      <rgbColor rgb="FF0066CC"/>
      <rgbColor rgb="FFE3E5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0E7FF"/>
      <rgbColor rgb="FFD1FADF"/>
      <rgbColor rgb="FFFEF0C7"/>
      <rgbColor rgb="FF99CCFF"/>
      <rgbColor rgb="FFFF99CC"/>
      <rgbColor rgb="FFCC99FF"/>
      <rgbColor rgb="FFFEE4E2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3D2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2"/>
    <col collapsed="false" customWidth="true" hidden="false" outlineLevel="0" max="3" min="3" style="1" width="18"/>
    <col collapsed="false" customWidth="true" hidden="false" outlineLevel="0" max="4" min="4" style="1" width="50"/>
    <col collapsed="false" customWidth="true" hidden="false" outlineLevel="0" max="5" min="5" style="1" width="10"/>
    <col collapsed="false" customWidth="true" hidden="false" outlineLevel="0" max="6" min="6" style="1" width="12"/>
    <col collapsed="false" customWidth="true" hidden="false" outlineLevel="0" max="7" min="7" style="1" width="14"/>
    <col collapsed="false" customWidth="true" hidden="false" outlineLevel="0" max="8" min="8" style="1" width="12"/>
    <col collapsed="false" customWidth="true" hidden="false" outlineLevel="0" max="9" min="9" style="1" width="18"/>
    <col collapsed="false" customWidth="true" hidden="false" outlineLevel="0" max="11" min="10" style="1" width="14"/>
    <col collapsed="false" customWidth="true" hidden="false" outlineLevel="0" max="12" min="12" style="1" width="18"/>
    <col collapsed="false" customWidth="true" hidden="false" outlineLevel="0" max="13" min="13" style="1" width="50"/>
  </cols>
  <sheetData>
    <row r="1" customFormat="false" ht="51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customFormat="false" ht="15" hidden="false" customHeight="true" outlineLevel="0" collapsed="false">
      <c r="A2" s="1" t="n">
        <v>1</v>
      </c>
      <c r="B2" s="1" t="s">
        <v>13</v>
      </c>
      <c r="C2" s="1" t="s">
        <v>14</v>
      </c>
      <c r="D2" s="1" t="s">
        <v>15</v>
      </c>
      <c r="E2" s="1" t="n">
        <v>8</v>
      </c>
      <c r="F2" s="1" t="n">
        <v>9</v>
      </c>
      <c r="G2" s="1" t="n">
        <v>2</v>
      </c>
      <c r="H2" s="3" t="n">
        <f aca="false">E2*F2/G2</f>
        <v>36</v>
      </c>
      <c r="I2" s="4" t="s">
        <v>16</v>
      </c>
      <c r="J2" s="1" t="s">
        <v>17</v>
      </c>
      <c r="K2" s="1" t="s">
        <v>18</v>
      </c>
      <c r="L2" s="1" t="s">
        <v>19</v>
      </c>
      <c r="M2" s="1" t="s">
        <v>20</v>
      </c>
    </row>
    <row r="3" customFormat="false" ht="15" hidden="false" customHeight="true" outlineLevel="0" collapsed="false">
      <c r="A3" s="1" t="n">
        <v>2</v>
      </c>
      <c r="B3" s="1" t="s">
        <v>21</v>
      </c>
      <c r="C3" s="1" t="s">
        <v>22</v>
      </c>
      <c r="D3" s="1" t="s">
        <v>23</v>
      </c>
      <c r="E3" s="1" t="n">
        <v>9</v>
      </c>
      <c r="F3" s="1" t="n">
        <v>10</v>
      </c>
      <c r="G3" s="1" t="n">
        <v>3</v>
      </c>
      <c r="H3" s="3" t="n">
        <f aca="false">E3*F3/G3</f>
        <v>30</v>
      </c>
      <c r="I3" s="4" t="s">
        <v>16</v>
      </c>
      <c r="J3" s="1" t="s">
        <v>24</v>
      </c>
      <c r="K3" s="1" t="s">
        <v>18</v>
      </c>
      <c r="L3" s="1" t="s">
        <v>19</v>
      </c>
      <c r="M3" s="1" t="s">
        <v>25</v>
      </c>
    </row>
    <row r="4" customFormat="false" ht="15" hidden="false" customHeight="true" outlineLevel="0" collapsed="false">
      <c r="A4" s="1" t="n">
        <v>3</v>
      </c>
      <c r="B4" s="1" t="s">
        <v>26</v>
      </c>
      <c r="C4" s="1" t="s">
        <v>22</v>
      </c>
      <c r="D4" s="1" t="s">
        <v>27</v>
      </c>
      <c r="E4" s="1" t="n">
        <v>9</v>
      </c>
      <c r="F4" s="1" t="n">
        <v>9</v>
      </c>
      <c r="G4" s="1" t="n">
        <v>2</v>
      </c>
      <c r="H4" s="3" t="n">
        <f aca="false">E4*F4/G4</f>
        <v>40.5</v>
      </c>
      <c r="I4" s="4" t="s">
        <v>16</v>
      </c>
      <c r="J4" s="1" t="s">
        <v>28</v>
      </c>
      <c r="K4" s="1" t="s">
        <v>18</v>
      </c>
      <c r="L4" s="1" t="s">
        <v>19</v>
      </c>
      <c r="M4" s="1" t="s">
        <v>29</v>
      </c>
    </row>
    <row r="5" customFormat="false" ht="15" hidden="false" customHeight="true" outlineLevel="0" collapsed="false">
      <c r="A5" s="1" t="n">
        <v>4</v>
      </c>
      <c r="B5" s="1" t="s">
        <v>30</v>
      </c>
      <c r="C5" s="1" t="s">
        <v>31</v>
      </c>
      <c r="D5" s="1" t="s">
        <v>32</v>
      </c>
      <c r="E5" s="1" t="n">
        <v>8</v>
      </c>
      <c r="F5" s="1" t="n">
        <v>8</v>
      </c>
      <c r="G5" s="1" t="n">
        <v>2</v>
      </c>
      <c r="H5" s="3" t="n">
        <f aca="false">E5*F5/G5</f>
        <v>32</v>
      </c>
      <c r="I5" s="4" t="s">
        <v>33</v>
      </c>
      <c r="J5" s="1" t="s">
        <v>34</v>
      </c>
      <c r="K5" s="1" t="s">
        <v>18</v>
      </c>
      <c r="L5" s="1" t="s">
        <v>19</v>
      </c>
      <c r="M5" s="1" t="s">
        <v>35</v>
      </c>
    </row>
    <row r="6" customFormat="false" ht="15" hidden="false" customHeight="true" outlineLevel="0" collapsed="false">
      <c r="A6" s="1" t="n">
        <v>5</v>
      </c>
      <c r="B6" s="1" t="s">
        <v>36</v>
      </c>
      <c r="C6" s="1" t="s">
        <v>31</v>
      </c>
      <c r="D6" s="1" t="s">
        <v>37</v>
      </c>
      <c r="E6" s="1" t="n">
        <v>7</v>
      </c>
      <c r="F6" s="1" t="n">
        <v>8</v>
      </c>
      <c r="G6" s="1" t="n">
        <v>2</v>
      </c>
      <c r="H6" s="3" t="n">
        <f aca="false">E6*F6/G6</f>
        <v>28</v>
      </c>
      <c r="I6" s="4" t="s">
        <v>33</v>
      </c>
      <c r="J6" s="1" t="s">
        <v>34</v>
      </c>
      <c r="K6" s="1" t="s">
        <v>18</v>
      </c>
      <c r="L6" s="1" t="s">
        <v>19</v>
      </c>
      <c r="M6" s="1" t="s">
        <v>38</v>
      </c>
    </row>
    <row r="7" customFormat="false" ht="15" hidden="false" customHeight="true" outlineLevel="0" collapsed="false">
      <c r="A7" s="1" t="n">
        <v>6</v>
      </c>
      <c r="B7" s="1" t="s">
        <v>39</v>
      </c>
      <c r="C7" s="1" t="s">
        <v>40</v>
      </c>
      <c r="D7" s="1" t="s">
        <v>41</v>
      </c>
      <c r="E7" s="1" t="n">
        <v>9</v>
      </c>
      <c r="F7" s="1" t="n">
        <v>6</v>
      </c>
      <c r="G7" s="1" t="n">
        <v>1</v>
      </c>
      <c r="H7" s="3" t="n">
        <f aca="false">E7*F7/G7</f>
        <v>54</v>
      </c>
      <c r="I7" s="4" t="s">
        <v>16</v>
      </c>
      <c r="J7" s="1" t="s">
        <v>28</v>
      </c>
      <c r="K7" s="1" t="s">
        <v>18</v>
      </c>
      <c r="L7" s="1" t="s">
        <v>19</v>
      </c>
      <c r="M7" s="1" t="s">
        <v>42</v>
      </c>
    </row>
    <row r="8" customFormat="false" ht="15" hidden="false" customHeight="true" outlineLevel="0" collapsed="false">
      <c r="A8" s="1" t="n">
        <v>7</v>
      </c>
      <c r="B8" s="1" t="s">
        <v>43</v>
      </c>
      <c r="C8" s="1" t="s">
        <v>40</v>
      </c>
      <c r="D8" s="1" t="s">
        <v>44</v>
      </c>
      <c r="E8" s="1" t="n">
        <v>14</v>
      </c>
      <c r="F8" s="1" t="n">
        <v>7</v>
      </c>
      <c r="G8" s="1" t="n">
        <v>1</v>
      </c>
      <c r="H8" s="3" t="n">
        <f aca="false">E8*F8/G8</f>
        <v>98</v>
      </c>
      <c r="I8" s="4" t="s">
        <v>16</v>
      </c>
      <c r="J8" s="1" t="s">
        <v>28</v>
      </c>
      <c r="K8" s="1" t="s">
        <v>18</v>
      </c>
      <c r="L8" s="1" t="s">
        <v>19</v>
      </c>
      <c r="M8" s="1" t="s">
        <v>45</v>
      </c>
    </row>
    <row r="9" customFormat="false" ht="15" hidden="false" customHeight="true" outlineLevel="0" collapsed="false">
      <c r="A9" s="1" t="n">
        <v>8</v>
      </c>
      <c r="B9" s="1" t="s">
        <v>46</v>
      </c>
      <c r="C9" s="1" t="s">
        <v>14</v>
      </c>
      <c r="D9" s="1" t="s">
        <v>47</v>
      </c>
      <c r="E9" s="1" t="n">
        <v>8</v>
      </c>
      <c r="F9" s="1" t="n">
        <v>8</v>
      </c>
      <c r="G9" s="1" t="n">
        <v>2</v>
      </c>
      <c r="H9" s="3" t="n">
        <f aca="false">E9*F9/G9</f>
        <v>32</v>
      </c>
      <c r="I9" s="4" t="s">
        <v>33</v>
      </c>
      <c r="J9" s="1" t="s">
        <v>48</v>
      </c>
      <c r="K9" s="1" t="s">
        <v>18</v>
      </c>
      <c r="L9" s="1" t="s">
        <v>19</v>
      </c>
      <c r="M9" s="1" t="s">
        <v>49</v>
      </c>
    </row>
    <row r="10" customFormat="false" ht="15" hidden="false" customHeight="true" outlineLevel="0" collapsed="false">
      <c r="A10" s="1" t="n">
        <v>9</v>
      </c>
      <c r="B10" s="1" t="s">
        <v>50</v>
      </c>
      <c r="C10" s="1" t="s">
        <v>22</v>
      </c>
      <c r="D10" s="1" t="s">
        <v>51</v>
      </c>
      <c r="E10" s="1" t="n">
        <v>8</v>
      </c>
      <c r="F10" s="1" t="n">
        <v>9</v>
      </c>
      <c r="G10" s="1" t="n">
        <v>3</v>
      </c>
      <c r="H10" s="3" t="n">
        <f aca="false">E10*F10/G10</f>
        <v>24</v>
      </c>
      <c r="I10" s="4" t="s">
        <v>16</v>
      </c>
      <c r="J10" s="1" t="s">
        <v>24</v>
      </c>
      <c r="K10" s="1" t="s">
        <v>18</v>
      </c>
      <c r="L10" s="1" t="s">
        <v>19</v>
      </c>
      <c r="M10" s="1" t="s">
        <v>52</v>
      </c>
    </row>
    <row r="11" customFormat="false" ht="15" hidden="false" customHeight="true" outlineLevel="0" collapsed="false">
      <c r="A11" s="1" t="n">
        <v>10</v>
      </c>
      <c r="B11" s="1" t="s">
        <v>53</v>
      </c>
      <c r="C11" s="1" t="s">
        <v>22</v>
      </c>
      <c r="D11" s="1" t="s">
        <v>54</v>
      </c>
      <c r="E11" s="1" t="n">
        <v>12</v>
      </c>
      <c r="F11" s="1" t="n">
        <v>8</v>
      </c>
      <c r="G11" s="1" t="n">
        <v>2</v>
      </c>
      <c r="H11" s="3" t="n">
        <f aca="false">E11*F11/G11</f>
        <v>48</v>
      </c>
      <c r="I11" s="4" t="s">
        <v>16</v>
      </c>
      <c r="J11" s="1" t="s">
        <v>28</v>
      </c>
      <c r="K11" s="1" t="s">
        <v>18</v>
      </c>
      <c r="L11" s="1" t="s">
        <v>19</v>
      </c>
      <c r="M11" s="1" t="s">
        <v>55</v>
      </c>
    </row>
    <row r="12" customFormat="false" ht="15" hidden="false" customHeight="true" outlineLevel="0" collapsed="false">
      <c r="A12" s="1" t="n">
        <v>11</v>
      </c>
      <c r="B12" s="1" t="s">
        <v>56</v>
      </c>
      <c r="C12" s="1" t="s">
        <v>31</v>
      </c>
      <c r="D12" s="1" t="s">
        <v>57</v>
      </c>
      <c r="E12" s="1" t="n">
        <v>8</v>
      </c>
      <c r="F12" s="1" t="n">
        <v>9</v>
      </c>
      <c r="G12" s="1" t="n">
        <v>3</v>
      </c>
      <c r="H12" s="3" t="n">
        <f aca="false">E12*F12/G12</f>
        <v>24</v>
      </c>
      <c r="I12" s="4" t="s">
        <v>33</v>
      </c>
      <c r="J12" s="1" t="s">
        <v>58</v>
      </c>
      <c r="K12" s="1" t="s">
        <v>18</v>
      </c>
      <c r="L12" s="1" t="s">
        <v>19</v>
      </c>
      <c r="M12" s="1" t="s">
        <v>59</v>
      </c>
    </row>
    <row r="13" customFormat="false" ht="15" hidden="false" customHeight="true" outlineLevel="0" collapsed="false">
      <c r="A13" s="1" t="n">
        <v>12</v>
      </c>
      <c r="B13" s="1" t="s">
        <v>60</v>
      </c>
      <c r="C13" s="1" t="s">
        <v>61</v>
      </c>
      <c r="D13" s="1" t="s">
        <v>62</v>
      </c>
      <c r="E13" s="1" t="n">
        <v>5</v>
      </c>
      <c r="F13" s="1" t="n">
        <v>9</v>
      </c>
      <c r="G13" s="1" t="n">
        <v>3</v>
      </c>
      <c r="H13" s="3" t="n">
        <f aca="false">E13*F13/G13</f>
        <v>15</v>
      </c>
      <c r="I13" s="4" t="s">
        <v>33</v>
      </c>
      <c r="J13" s="1" t="s">
        <v>63</v>
      </c>
      <c r="K13" s="1" t="s">
        <v>18</v>
      </c>
      <c r="L13" s="1" t="s">
        <v>19</v>
      </c>
      <c r="M13" s="1" t="s">
        <v>64</v>
      </c>
    </row>
    <row r="14" customFormat="false" ht="15" hidden="false" customHeight="true" outlineLevel="0" collapsed="false">
      <c r="A14" s="1" t="n">
        <v>13</v>
      </c>
      <c r="B14" s="1" t="s">
        <v>65</v>
      </c>
      <c r="C14" s="1" t="s">
        <v>31</v>
      </c>
      <c r="D14" s="1" t="s">
        <v>66</v>
      </c>
      <c r="E14" s="1" t="n">
        <v>8</v>
      </c>
      <c r="F14" s="1" t="n">
        <v>7</v>
      </c>
      <c r="G14" s="1" t="n">
        <v>2</v>
      </c>
      <c r="H14" s="3" t="n">
        <f aca="false">E14*F14/G14</f>
        <v>28</v>
      </c>
      <c r="I14" s="4" t="s">
        <v>67</v>
      </c>
      <c r="J14" s="1" t="s">
        <v>28</v>
      </c>
      <c r="K14" s="1" t="s">
        <v>18</v>
      </c>
      <c r="L14" s="1" t="s">
        <v>68</v>
      </c>
      <c r="M14" s="1" t="s">
        <v>69</v>
      </c>
    </row>
    <row r="15" customFormat="false" ht="15" hidden="false" customHeight="true" outlineLevel="0" collapsed="false">
      <c r="A15" s="1" t="n">
        <v>14</v>
      </c>
      <c r="B15" s="1" t="s">
        <v>70</v>
      </c>
      <c r="C15" s="1" t="s">
        <v>71</v>
      </c>
      <c r="D15" s="1" t="s">
        <v>72</v>
      </c>
      <c r="E15" s="1" t="n">
        <v>4</v>
      </c>
      <c r="F15" s="1" t="n">
        <v>8</v>
      </c>
      <c r="G15" s="1" t="n">
        <v>3</v>
      </c>
      <c r="H15" s="3" t="n">
        <f aca="false">E15*F15/G15</f>
        <v>10.6666666666667</v>
      </c>
      <c r="I15" s="4" t="s">
        <v>33</v>
      </c>
      <c r="J15" s="1" t="s">
        <v>34</v>
      </c>
      <c r="K15" s="1" t="s">
        <v>18</v>
      </c>
      <c r="L15" s="1" t="s">
        <v>19</v>
      </c>
      <c r="M15" s="1" t="s">
        <v>73</v>
      </c>
    </row>
    <row r="16" customFormat="false" ht="15" hidden="false" customHeight="true" outlineLevel="0" collapsed="false">
      <c r="A16" s="1" t="n">
        <v>15</v>
      </c>
      <c r="B16" s="1" t="s">
        <v>74</v>
      </c>
      <c r="C16" s="1" t="s">
        <v>71</v>
      </c>
      <c r="D16" s="1" t="s">
        <v>75</v>
      </c>
      <c r="E16" s="1" t="n">
        <v>6</v>
      </c>
      <c r="F16" s="1" t="n">
        <v>8</v>
      </c>
      <c r="G16" s="1" t="n">
        <v>2</v>
      </c>
      <c r="H16" s="3" t="n">
        <f aca="false">E16*F16/G16</f>
        <v>24</v>
      </c>
      <c r="I16" s="4" t="s">
        <v>16</v>
      </c>
      <c r="J16" s="1" t="s">
        <v>28</v>
      </c>
      <c r="K16" s="1" t="s">
        <v>18</v>
      </c>
      <c r="L16" s="1" t="s">
        <v>19</v>
      </c>
      <c r="M16" s="1" t="s">
        <v>76</v>
      </c>
    </row>
    <row r="17" customFormat="false" ht="15" hidden="false" customHeight="true" outlineLevel="0" collapsed="false">
      <c r="A17" s="1" t="n">
        <v>16</v>
      </c>
      <c r="B17" s="1" t="s">
        <v>77</v>
      </c>
      <c r="C17" s="1" t="s">
        <v>78</v>
      </c>
      <c r="D17" s="1" t="s">
        <v>79</v>
      </c>
      <c r="E17" s="1" t="n">
        <v>10</v>
      </c>
      <c r="F17" s="1" t="n">
        <v>9</v>
      </c>
      <c r="G17" s="1" t="n">
        <v>1</v>
      </c>
      <c r="H17" s="3" t="n">
        <f aca="false">E17*F17/G17</f>
        <v>90</v>
      </c>
      <c r="I17" s="4" t="s">
        <v>80</v>
      </c>
      <c r="J17" s="1" t="s">
        <v>81</v>
      </c>
      <c r="K17" s="1" t="s">
        <v>82</v>
      </c>
      <c r="L17" s="1" t="s">
        <v>83</v>
      </c>
      <c r="M17" s="1" t="s">
        <v>84</v>
      </c>
    </row>
    <row r="18" customFormat="false" ht="15" hidden="false" customHeight="true" outlineLevel="0" collapsed="false">
      <c r="A18" s="1" t="n">
        <v>17</v>
      </c>
      <c r="B18" s="1" t="s">
        <v>85</v>
      </c>
      <c r="C18" s="1" t="s">
        <v>78</v>
      </c>
      <c r="D18" s="1" t="s">
        <v>86</v>
      </c>
      <c r="E18" s="1" t="n">
        <v>10</v>
      </c>
      <c r="F18" s="1" t="n">
        <v>7</v>
      </c>
      <c r="G18" s="1" t="n">
        <v>1</v>
      </c>
      <c r="H18" s="3" t="n">
        <f aca="false">E18*F18/G18</f>
        <v>70</v>
      </c>
      <c r="I18" s="4" t="s">
        <v>80</v>
      </c>
      <c r="J18" s="1" t="s">
        <v>81</v>
      </c>
      <c r="K18" s="1" t="s">
        <v>87</v>
      </c>
      <c r="L18" s="1" t="s">
        <v>88</v>
      </c>
      <c r="M18" s="1" t="s">
        <v>89</v>
      </c>
    </row>
    <row r="19" customFormat="false" ht="15" hidden="false" customHeight="true" outlineLevel="0" collapsed="false">
      <c r="A19" s="1" t="n">
        <v>18</v>
      </c>
      <c r="B19" s="1" t="s">
        <v>90</v>
      </c>
      <c r="C19" s="1" t="s">
        <v>78</v>
      </c>
      <c r="D19" s="1" t="s">
        <v>91</v>
      </c>
      <c r="E19" s="1" t="n">
        <v>10</v>
      </c>
      <c r="F19" s="1" t="n">
        <v>8</v>
      </c>
      <c r="G19" s="1" t="n">
        <v>1</v>
      </c>
      <c r="H19" s="3" t="n">
        <f aca="false">E19*F19/G19</f>
        <v>80</v>
      </c>
      <c r="I19" s="4" t="s">
        <v>80</v>
      </c>
      <c r="J19" s="1" t="s">
        <v>81</v>
      </c>
      <c r="K19" s="1" t="s">
        <v>92</v>
      </c>
      <c r="L19" s="1" t="s">
        <v>93</v>
      </c>
      <c r="M19" s="1" t="s">
        <v>94</v>
      </c>
    </row>
    <row r="20" customFormat="false" ht="15" hidden="false" customHeight="true" outlineLevel="0" collapsed="false">
      <c r="A20" s="1" t="n">
        <v>19</v>
      </c>
      <c r="B20" s="1" t="s">
        <v>95</v>
      </c>
      <c r="C20" s="1" t="s">
        <v>71</v>
      </c>
      <c r="D20" s="1" t="s">
        <v>96</v>
      </c>
      <c r="E20" s="1" t="n">
        <v>10</v>
      </c>
      <c r="F20" s="1" t="n">
        <v>9</v>
      </c>
      <c r="G20" s="1" t="n">
        <v>1</v>
      </c>
      <c r="H20" s="3" t="n">
        <f aca="false">E20*F20/G20</f>
        <v>90</v>
      </c>
      <c r="I20" s="4" t="s">
        <v>80</v>
      </c>
      <c r="J20" s="1" t="s">
        <v>81</v>
      </c>
      <c r="K20" s="1" t="s">
        <v>92</v>
      </c>
      <c r="L20" s="1" t="s">
        <v>97</v>
      </c>
      <c r="M20" s="1" t="s">
        <v>98</v>
      </c>
    </row>
    <row r="21" customFormat="false" ht="15" hidden="false" customHeight="true" outlineLevel="0" collapsed="false">
      <c r="A21" s="1" t="n">
        <v>20</v>
      </c>
      <c r="B21" s="1" t="s">
        <v>99</v>
      </c>
      <c r="C21" s="1" t="s">
        <v>71</v>
      </c>
      <c r="D21" s="1" t="s">
        <v>100</v>
      </c>
      <c r="E21" s="1" t="n">
        <v>10</v>
      </c>
      <c r="F21" s="1" t="n">
        <v>8</v>
      </c>
      <c r="G21" s="1" t="n">
        <v>2</v>
      </c>
      <c r="H21" s="3" t="n">
        <f aca="false">E21*F21/G21</f>
        <v>40</v>
      </c>
      <c r="I21" s="4" t="s">
        <v>80</v>
      </c>
      <c r="J21" s="1" t="s">
        <v>81</v>
      </c>
      <c r="K21" s="1" t="s">
        <v>92</v>
      </c>
      <c r="L21" s="1" t="s">
        <v>101</v>
      </c>
      <c r="M21" s="1" t="s">
        <v>102</v>
      </c>
    </row>
    <row r="22" customFormat="false" ht="15" hidden="false" customHeight="true" outlineLevel="0" collapsed="false">
      <c r="A22" s="1" t="n">
        <v>21</v>
      </c>
      <c r="B22" s="1" t="s">
        <v>103</v>
      </c>
      <c r="C22" s="1" t="s">
        <v>71</v>
      </c>
      <c r="D22" s="1" t="s">
        <v>104</v>
      </c>
      <c r="E22" s="1" t="n">
        <v>10</v>
      </c>
      <c r="F22" s="1" t="n">
        <v>8</v>
      </c>
      <c r="G22" s="1" t="n">
        <v>1</v>
      </c>
      <c r="H22" s="3" t="n">
        <f aca="false">E22*F22/G22</f>
        <v>80</v>
      </c>
      <c r="I22" s="4" t="s">
        <v>80</v>
      </c>
      <c r="J22" s="1" t="s">
        <v>81</v>
      </c>
      <c r="K22" s="1" t="s">
        <v>105</v>
      </c>
      <c r="L22" s="1" t="s">
        <v>106</v>
      </c>
      <c r="M22" s="1" t="s">
        <v>107</v>
      </c>
    </row>
    <row r="23" customFormat="false" ht="15" hidden="false" customHeight="true" outlineLevel="0" collapsed="false">
      <c r="A23" s="1" t="n">
        <v>22</v>
      </c>
      <c r="B23" s="1" t="s">
        <v>108</v>
      </c>
      <c r="C23" s="1" t="s">
        <v>71</v>
      </c>
      <c r="D23" s="1" t="s">
        <v>109</v>
      </c>
      <c r="E23" s="1" t="n">
        <v>10</v>
      </c>
      <c r="F23" s="1" t="n">
        <v>9</v>
      </c>
      <c r="G23" s="1" t="n">
        <v>2</v>
      </c>
      <c r="H23" s="3" t="n">
        <f aca="false">E23*F23/G23</f>
        <v>45</v>
      </c>
      <c r="I23" s="4" t="s">
        <v>80</v>
      </c>
      <c r="J23" s="1" t="s">
        <v>81</v>
      </c>
      <c r="K23" s="1" t="s">
        <v>110</v>
      </c>
      <c r="L23" s="1" t="s">
        <v>106</v>
      </c>
      <c r="M23" s="1" t="s">
        <v>111</v>
      </c>
    </row>
    <row r="24" customFormat="false" ht="15" hidden="false" customHeight="true" outlineLevel="0" collapsed="false">
      <c r="A24" s="1" t="n">
        <v>23</v>
      </c>
      <c r="B24" s="1" t="s">
        <v>112</v>
      </c>
      <c r="C24" s="1" t="s">
        <v>78</v>
      </c>
      <c r="D24" s="1" t="s">
        <v>113</v>
      </c>
      <c r="E24" s="1" t="n">
        <v>10</v>
      </c>
      <c r="F24" s="1" t="n">
        <v>9</v>
      </c>
      <c r="G24" s="1" t="n">
        <v>1</v>
      </c>
      <c r="H24" s="3" t="n">
        <f aca="false">E24*F24/G24</f>
        <v>90</v>
      </c>
      <c r="I24" s="4" t="s">
        <v>80</v>
      </c>
      <c r="J24" s="1" t="s">
        <v>81</v>
      </c>
      <c r="K24" s="1" t="s">
        <v>92</v>
      </c>
      <c r="L24" s="1" t="s">
        <v>88</v>
      </c>
      <c r="M24" s="1" t="s">
        <v>114</v>
      </c>
    </row>
    <row r="25" customFormat="false" ht="15" hidden="false" customHeight="true" outlineLevel="0" collapsed="false">
      <c r="I25" s="4"/>
    </row>
    <row r="26" customFormat="false" ht="15" hidden="false" customHeight="true" outlineLevel="0" collapsed="false">
      <c r="I26" s="4"/>
    </row>
    <row r="27" customFormat="false" ht="15" hidden="false" customHeight="true" outlineLevel="0" collapsed="false">
      <c r="I27" s="4"/>
    </row>
    <row r="28" customFormat="false" ht="15" hidden="false" customHeight="true" outlineLevel="0" collapsed="false">
      <c r="I28" s="4"/>
    </row>
    <row r="29" customFormat="false" ht="15" hidden="false" customHeight="true" outlineLevel="0" collapsed="false">
      <c r="I29" s="4"/>
    </row>
    <row r="30" customFormat="false" ht="15" hidden="false" customHeight="true" outlineLevel="0" collapsed="false">
      <c r="I30" s="4"/>
    </row>
    <row r="31" customFormat="false" ht="15" hidden="false" customHeight="true" outlineLevel="0" collapsed="false">
      <c r="I31" s="4"/>
    </row>
    <row r="32" customFormat="false" ht="15" hidden="false" customHeight="true" outlineLevel="0" collapsed="false">
      <c r="I32" s="4"/>
    </row>
    <row r="33" customFormat="false" ht="15" hidden="false" customHeight="true" outlineLevel="0" collapsed="false">
      <c r="I33" s="4"/>
    </row>
    <row r="34" customFormat="false" ht="15" hidden="false" customHeight="true" outlineLevel="0" collapsed="false">
      <c r="I34" s="4"/>
    </row>
    <row r="35" customFormat="false" ht="15" hidden="false" customHeight="true" outlineLevel="0" collapsed="false">
      <c r="I35" s="4"/>
    </row>
    <row r="36" customFormat="false" ht="15" hidden="false" customHeight="true" outlineLevel="0" collapsed="false">
      <c r="I36" s="4"/>
    </row>
    <row r="37" customFormat="false" ht="15" hidden="false" customHeight="true" outlineLevel="0" collapsed="false">
      <c r="I37" s="4"/>
    </row>
    <row r="38" customFormat="false" ht="15" hidden="false" customHeight="true" outlineLevel="0" collapsed="false">
      <c r="I38" s="4"/>
    </row>
    <row r="39" customFormat="false" ht="15" hidden="false" customHeight="true" outlineLevel="0" collapsed="false">
      <c r="I39" s="4"/>
    </row>
    <row r="40" customFormat="false" ht="15" hidden="false" customHeight="true" outlineLevel="0" collapsed="false">
      <c r="I40" s="4"/>
    </row>
    <row r="41" customFormat="false" ht="15" hidden="false" customHeight="true" outlineLevel="0" collapsed="false">
      <c r="I41" s="4"/>
    </row>
    <row r="42" customFormat="false" ht="15" hidden="false" customHeight="true" outlineLevel="0" collapsed="false">
      <c r="I42" s="4"/>
    </row>
    <row r="43" customFormat="false" ht="15" hidden="false" customHeight="true" outlineLevel="0" collapsed="false">
      <c r="I43" s="4"/>
    </row>
    <row r="44" customFormat="false" ht="15" hidden="false" customHeight="true" outlineLevel="0" collapsed="false">
      <c r="I44" s="4"/>
    </row>
    <row r="45" customFormat="false" ht="15" hidden="false" customHeight="true" outlineLevel="0" collapsed="false">
      <c r="I45" s="4"/>
    </row>
    <row r="46" customFormat="false" ht="15" hidden="false" customHeight="true" outlineLevel="0" collapsed="false">
      <c r="I46" s="4"/>
    </row>
    <row r="47" customFormat="false" ht="15" hidden="false" customHeight="true" outlineLevel="0" collapsed="false">
      <c r="I47" s="4"/>
    </row>
    <row r="48" customFormat="false" ht="15" hidden="false" customHeight="true" outlineLevel="0" collapsed="false">
      <c r="I48" s="4"/>
    </row>
    <row r="49" customFormat="false" ht="15" hidden="false" customHeight="true" outlineLevel="0" collapsed="false">
      <c r="I49" s="4"/>
    </row>
    <row r="50" customFormat="false" ht="15" hidden="false" customHeight="true" outlineLevel="0" collapsed="false">
      <c r="I50" s="4"/>
    </row>
    <row r="51" customFormat="false" ht="15" hidden="false" customHeight="true" outlineLevel="0" collapsed="false">
      <c r="I51" s="4"/>
    </row>
    <row r="52" customFormat="false" ht="15" hidden="false" customHeight="true" outlineLevel="0" collapsed="false">
      <c r="I52" s="4"/>
    </row>
    <row r="53" customFormat="false" ht="15" hidden="false" customHeight="true" outlineLevel="0" collapsed="false">
      <c r="I53" s="4"/>
    </row>
    <row r="54" customFormat="false" ht="15" hidden="false" customHeight="true" outlineLevel="0" collapsed="false">
      <c r="I54" s="4"/>
    </row>
    <row r="55" customFormat="false" ht="15" hidden="false" customHeight="true" outlineLevel="0" collapsed="false">
      <c r="I55" s="4"/>
    </row>
    <row r="56" customFormat="false" ht="15" hidden="false" customHeight="true" outlineLevel="0" collapsed="false">
      <c r="I56" s="4"/>
    </row>
    <row r="57" customFormat="false" ht="15" hidden="false" customHeight="true" outlineLevel="0" collapsed="false">
      <c r="I57" s="4"/>
    </row>
    <row r="58" customFormat="false" ht="15" hidden="false" customHeight="true" outlineLevel="0" collapsed="false">
      <c r="I58" s="4"/>
    </row>
    <row r="59" customFormat="false" ht="15" hidden="false" customHeight="true" outlineLevel="0" collapsed="false">
      <c r="I59" s="4"/>
    </row>
    <row r="60" customFormat="false" ht="15" hidden="false" customHeight="true" outlineLevel="0" collapsed="false">
      <c r="I60" s="4"/>
    </row>
    <row r="61" customFormat="false" ht="15" hidden="false" customHeight="true" outlineLevel="0" collapsed="false">
      <c r="I61" s="4"/>
    </row>
    <row r="62" customFormat="false" ht="15" hidden="false" customHeight="true" outlineLevel="0" collapsed="false">
      <c r="I62" s="4"/>
    </row>
    <row r="63" customFormat="false" ht="15" hidden="false" customHeight="true" outlineLevel="0" collapsed="false">
      <c r="I63" s="4"/>
    </row>
    <row r="64" customFormat="false" ht="15" hidden="false" customHeight="true" outlineLevel="0" collapsed="false">
      <c r="I64" s="4"/>
    </row>
    <row r="65" customFormat="false" ht="15" hidden="false" customHeight="true" outlineLevel="0" collapsed="false">
      <c r="I65" s="4"/>
    </row>
    <row r="66" customFormat="false" ht="15" hidden="false" customHeight="true" outlineLevel="0" collapsed="false">
      <c r="I66" s="4"/>
    </row>
    <row r="67" customFormat="false" ht="15" hidden="false" customHeight="true" outlineLevel="0" collapsed="false">
      <c r="I67" s="4"/>
    </row>
    <row r="68" customFormat="false" ht="15" hidden="false" customHeight="true" outlineLevel="0" collapsed="false">
      <c r="I68" s="4"/>
    </row>
    <row r="69" customFormat="false" ht="15" hidden="false" customHeight="true" outlineLevel="0" collapsed="false">
      <c r="I69" s="4"/>
    </row>
    <row r="70" customFormat="false" ht="15" hidden="false" customHeight="true" outlineLevel="0" collapsed="false">
      <c r="I70" s="4"/>
    </row>
    <row r="71" customFormat="false" ht="15" hidden="false" customHeight="true" outlineLevel="0" collapsed="false">
      <c r="I71" s="4"/>
    </row>
    <row r="72" customFormat="false" ht="15" hidden="false" customHeight="true" outlineLevel="0" collapsed="false">
      <c r="I72" s="4"/>
    </row>
    <row r="73" customFormat="false" ht="15" hidden="false" customHeight="true" outlineLevel="0" collapsed="false">
      <c r="I73" s="4"/>
    </row>
    <row r="74" customFormat="false" ht="15" hidden="false" customHeight="true" outlineLevel="0" collapsed="false">
      <c r="I74" s="4"/>
    </row>
    <row r="75" customFormat="false" ht="15" hidden="false" customHeight="true" outlineLevel="0" collapsed="false">
      <c r="I75" s="4"/>
    </row>
    <row r="76" customFormat="false" ht="15" hidden="false" customHeight="true" outlineLevel="0" collapsed="false">
      <c r="I76" s="4"/>
    </row>
    <row r="77" customFormat="false" ht="15" hidden="false" customHeight="true" outlineLevel="0" collapsed="false">
      <c r="I77" s="4"/>
    </row>
    <row r="78" customFormat="false" ht="15" hidden="false" customHeight="true" outlineLevel="0" collapsed="false">
      <c r="I78" s="4"/>
    </row>
    <row r="79" customFormat="false" ht="15" hidden="false" customHeight="true" outlineLevel="0" collapsed="false">
      <c r="I79" s="4"/>
    </row>
    <row r="80" customFormat="false" ht="15" hidden="false" customHeight="true" outlineLevel="0" collapsed="false">
      <c r="I80" s="4"/>
    </row>
    <row r="81" customFormat="false" ht="15" hidden="false" customHeight="true" outlineLevel="0" collapsed="false">
      <c r="I81" s="4"/>
    </row>
    <row r="82" customFormat="false" ht="15" hidden="false" customHeight="true" outlineLevel="0" collapsed="false">
      <c r="I82" s="4"/>
    </row>
    <row r="83" customFormat="false" ht="15" hidden="false" customHeight="true" outlineLevel="0" collapsed="false">
      <c r="I83" s="4"/>
    </row>
    <row r="84" customFormat="false" ht="15" hidden="false" customHeight="true" outlineLevel="0" collapsed="false">
      <c r="I84" s="4"/>
    </row>
    <row r="85" customFormat="false" ht="15" hidden="false" customHeight="true" outlineLevel="0" collapsed="false">
      <c r="I85" s="4"/>
    </row>
    <row r="86" customFormat="false" ht="15" hidden="false" customHeight="true" outlineLevel="0" collapsed="false">
      <c r="I86" s="4"/>
    </row>
    <row r="87" customFormat="false" ht="15" hidden="false" customHeight="true" outlineLevel="0" collapsed="false">
      <c r="I87" s="4"/>
    </row>
    <row r="88" customFormat="false" ht="15" hidden="false" customHeight="true" outlineLevel="0" collapsed="false">
      <c r="I88" s="4"/>
    </row>
    <row r="89" customFormat="false" ht="15" hidden="false" customHeight="true" outlineLevel="0" collapsed="false">
      <c r="I89" s="4"/>
    </row>
    <row r="90" customFormat="false" ht="15" hidden="false" customHeight="true" outlineLevel="0" collapsed="false">
      <c r="I90" s="4"/>
    </row>
    <row r="91" customFormat="false" ht="15" hidden="false" customHeight="true" outlineLevel="0" collapsed="false">
      <c r="I91" s="4"/>
    </row>
    <row r="92" customFormat="false" ht="15" hidden="false" customHeight="true" outlineLevel="0" collapsed="false">
      <c r="I92" s="4"/>
    </row>
    <row r="93" customFormat="false" ht="15" hidden="false" customHeight="true" outlineLevel="0" collapsed="false">
      <c r="I93" s="4"/>
    </row>
    <row r="94" customFormat="false" ht="15" hidden="false" customHeight="true" outlineLevel="0" collapsed="false">
      <c r="I94" s="4"/>
    </row>
    <row r="95" customFormat="false" ht="15" hidden="false" customHeight="true" outlineLevel="0" collapsed="false">
      <c r="I95" s="4"/>
    </row>
    <row r="96" customFormat="false" ht="15" hidden="false" customHeight="true" outlineLevel="0" collapsed="false">
      <c r="I96" s="4"/>
    </row>
    <row r="97" customFormat="false" ht="15" hidden="false" customHeight="true" outlineLevel="0" collapsed="false">
      <c r="I97" s="4"/>
    </row>
    <row r="98" customFormat="false" ht="15" hidden="false" customHeight="true" outlineLevel="0" collapsed="false">
      <c r="I98" s="4"/>
    </row>
    <row r="99" customFormat="false" ht="15" hidden="false" customHeight="true" outlineLevel="0" collapsed="false">
      <c r="I99" s="4"/>
    </row>
    <row r="100" customFormat="false" ht="15" hidden="false" customHeight="true" outlineLevel="0" collapsed="false">
      <c r="I100" s="4"/>
    </row>
  </sheetData>
  <conditionalFormatting sqref="I2:I100">
    <cfRule type="cellIs" priority="2" operator="equal" aboveAverage="0" equalAverage="0" bottom="0" percent="0" rank="0" text="" dxfId="0">
      <formula>"MVP"</formula>
    </cfRule>
    <cfRule type="cellIs" priority="3" operator="equal" aboveAverage="0" equalAverage="0" bottom="0" percent="0" rank="0" text="" dxfId="1">
      <formula>"MVP+1"</formula>
    </cfRule>
    <cfRule type="cellIs" priority="4" operator="equal" aboveAverage="0" equalAverage="0" bottom="0" percent="0" rank="0" text="" dxfId="2">
      <formula>"MVP+2"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8"/>
    <col collapsed="false" customWidth="true" hidden="false" outlineLevel="0" max="3" min="3" style="1" width="10"/>
    <col collapsed="false" customWidth="true" hidden="false" outlineLevel="0" max="6" min="4" style="1" width="12"/>
    <col collapsed="false" customWidth="true" hidden="false" outlineLevel="0" max="7" min="7" style="1" width="14"/>
    <col collapsed="false" customWidth="true" hidden="false" outlineLevel="0" max="8" min="8" style="1" width="18"/>
    <col collapsed="false" customWidth="true" hidden="false" outlineLevel="0" max="9" min="9" style="1" width="50"/>
    <col collapsed="false" customWidth="true" hidden="false" outlineLevel="0" max="10" min="10" style="1" width="12"/>
    <col collapsed="false" customWidth="true" hidden="false" outlineLevel="0" max="11" min="11" style="1" width="50"/>
  </cols>
  <sheetData>
    <row r="1" customFormat="false" ht="39" hidden="false" customHeight="true" outlineLevel="0" collapsed="false">
      <c r="A1" s="2" t="s">
        <v>0</v>
      </c>
      <c r="B1" s="2" t="s">
        <v>115</v>
      </c>
      <c r="C1" s="2" t="s">
        <v>116</v>
      </c>
      <c r="D1" s="2" t="s">
        <v>117</v>
      </c>
      <c r="E1" s="2" t="s">
        <v>118</v>
      </c>
      <c r="F1" s="2" t="s">
        <v>119</v>
      </c>
      <c r="G1" s="2" t="s">
        <v>7</v>
      </c>
      <c r="H1" s="2" t="s">
        <v>120</v>
      </c>
      <c r="I1" s="2" t="s">
        <v>121</v>
      </c>
      <c r="J1" s="2" t="s">
        <v>122</v>
      </c>
      <c r="K1" s="2" t="s">
        <v>123</v>
      </c>
    </row>
    <row r="2" customFormat="false" ht="15" hidden="false" customHeight="true" outlineLevel="0" collapsed="false">
      <c r="A2" s="1" t="n">
        <v>2</v>
      </c>
      <c r="B2" s="1" t="s">
        <v>124</v>
      </c>
      <c r="C2" s="1" t="n">
        <v>15</v>
      </c>
      <c r="D2" s="1" t="n">
        <v>9</v>
      </c>
      <c r="E2" s="1" t="n">
        <v>2</v>
      </c>
      <c r="F2" s="3" t="n">
        <v>10</v>
      </c>
      <c r="G2" s="3" t="n">
        <f aca="false">C2*D2/E2</f>
        <v>67.5</v>
      </c>
      <c r="H2" s="5" t="n">
        <f aca="false">F2*C2*D2/E2</f>
        <v>675</v>
      </c>
      <c r="I2" s="1" t="s">
        <v>125</v>
      </c>
      <c r="J2" s="4" t="s">
        <v>80</v>
      </c>
      <c r="K2" s="1" t="s">
        <v>126</v>
      </c>
    </row>
    <row r="3" customFormat="false" ht="15" hidden="false" customHeight="true" outlineLevel="0" collapsed="false">
      <c r="A3" s="1" t="n">
        <v>1</v>
      </c>
      <c r="B3" s="1" t="s">
        <v>127</v>
      </c>
      <c r="C3" s="1" t="n">
        <v>25</v>
      </c>
      <c r="D3" s="1" t="n">
        <v>10</v>
      </c>
      <c r="E3" s="1" t="n">
        <v>3</v>
      </c>
      <c r="F3" s="3" t="n">
        <v>9</v>
      </c>
      <c r="G3" s="3" t="n">
        <f aca="false">C3*D3/E3</f>
        <v>83.3333333333333</v>
      </c>
      <c r="H3" s="5" t="n">
        <f aca="false">F3*C3*D3/E3</f>
        <v>750</v>
      </c>
      <c r="I3" s="1" t="s">
        <v>128</v>
      </c>
      <c r="J3" s="4" t="s">
        <v>16</v>
      </c>
      <c r="K3" s="1" t="s">
        <v>129</v>
      </c>
    </row>
    <row r="4" customFormat="false" ht="15" hidden="false" customHeight="true" outlineLevel="0" collapsed="false">
      <c r="A4" s="1" t="n">
        <v>6</v>
      </c>
      <c r="B4" s="1" t="s">
        <v>130</v>
      </c>
      <c r="C4" s="1" t="n">
        <v>8</v>
      </c>
      <c r="D4" s="1" t="n">
        <v>9</v>
      </c>
      <c r="E4" s="1" t="n">
        <v>2</v>
      </c>
      <c r="F4" s="3" t="n">
        <v>8</v>
      </c>
      <c r="G4" s="3" t="n">
        <f aca="false">C4*D4/E4</f>
        <v>36</v>
      </c>
      <c r="H4" s="5" t="n">
        <f aca="false">F4*C4*D4/E4</f>
        <v>288</v>
      </c>
      <c r="I4" s="1" t="s">
        <v>131</v>
      </c>
      <c r="J4" s="4" t="s">
        <v>16</v>
      </c>
      <c r="K4" s="1" t="s">
        <v>132</v>
      </c>
    </row>
    <row r="5" customFormat="false" ht="15" hidden="false" customHeight="true" outlineLevel="0" collapsed="false">
      <c r="A5" s="1" t="n">
        <v>12</v>
      </c>
      <c r="B5" s="1" t="s">
        <v>133</v>
      </c>
      <c r="C5" s="1" t="n">
        <v>4</v>
      </c>
      <c r="D5" s="1" t="n">
        <v>8</v>
      </c>
      <c r="E5" s="1" t="n">
        <v>2</v>
      </c>
      <c r="F5" s="3" t="n">
        <v>8</v>
      </c>
      <c r="G5" s="3" t="n">
        <f aca="false">C5*D5/E5</f>
        <v>16</v>
      </c>
      <c r="H5" s="5" t="n">
        <f aca="false">F5*C5*D5/E5</f>
        <v>128</v>
      </c>
      <c r="I5" s="1" t="s">
        <v>134</v>
      </c>
      <c r="J5" s="4" t="s">
        <v>33</v>
      </c>
      <c r="K5" s="1" t="s">
        <v>135</v>
      </c>
    </row>
    <row r="6" customFormat="false" ht="15" hidden="false" customHeight="true" outlineLevel="0" collapsed="false">
      <c r="A6" s="1" t="n">
        <v>5</v>
      </c>
      <c r="B6" s="1" t="s">
        <v>136</v>
      </c>
      <c r="C6" s="1" t="n">
        <v>12</v>
      </c>
      <c r="D6" s="1" t="n">
        <v>8</v>
      </c>
      <c r="E6" s="1" t="n">
        <v>3</v>
      </c>
      <c r="F6" s="3" t="n">
        <v>7</v>
      </c>
      <c r="G6" s="3" t="n">
        <f aca="false">C6*D6/E6</f>
        <v>32</v>
      </c>
      <c r="H6" s="5" t="n">
        <f aca="false">F6*C6*D6/E6</f>
        <v>224</v>
      </c>
      <c r="I6" s="1" t="s">
        <v>137</v>
      </c>
      <c r="J6" s="4" t="s">
        <v>16</v>
      </c>
      <c r="K6" s="1" t="s">
        <v>138</v>
      </c>
    </row>
    <row r="7" customFormat="false" ht="15" hidden="false" customHeight="true" outlineLevel="0" collapsed="false">
      <c r="A7" s="1" t="n">
        <v>3</v>
      </c>
      <c r="B7" s="1" t="s">
        <v>139</v>
      </c>
      <c r="C7" s="1" t="n">
        <v>10</v>
      </c>
      <c r="D7" s="1" t="n">
        <v>9</v>
      </c>
      <c r="E7" s="1" t="n">
        <v>3</v>
      </c>
      <c r="F7" s="3" t="n">
        <v>6</v>
      </c>
      <c r="G7" s="3" t="n">
        <f aca="false">C7*D7/E7</f>
        <v>30</v>
      </c>
      <c r="H7" s="5" t="n">
        <f aca="false">F7*C7*D7/E7</f>
        <v>180</v>
      </c>
      <c r="I7" s="1" t="s">
        <v>140</v>
      </c>
      <c r="J7" s="4" t="s">
        <v>80</v>
      </c>
      <c r="K7" s="1" t="s">
        <v>141</v>
      </c>
    </row>
    <row r="8" customFormat="false" ht="15" hidden="false" customHeight="true" outlineLevel="0" collapsed="false">
      <c r="A8" s="1" t="n">
        <v>9</v>
      </c>
      <c r="B8" s="1" t="s">
        <v>142</v>
      </c>
      <c r="C8" s="1" t="n">
        <v>7</v>
      </c>
      <c r="D8" s="1" t="n">
        <v>8</v>
      </c>
      <c r="E8" s="1" t="n">
        <v>3</v>
      </c>
      <c r="F8" s="3" t="n">
        <v>6</v>
      </c>
      <c r="G8" s="3" t="n">
        <f aca="false">C8*D8/E8</f>
        <v>18.6666666666667</v>
      </c>
      <c r="H8" s="5" t="n">
        <f aca="false">F8*C8*D8/E8</f>
        <v>112</v>
      </c>
      <c r="I8" s="1" t="s">
        <v>143</v>
      </c>
      <c r="J8" s="4" t="s">
        <v>33</v>
      </c>
      <c r="K8" s="1" t="s">
        <v>144</v>
      </c>
    </row>
    <row r="9" customFormat="false" ht="15" hidden="false" customHeight="true" outlineLevel="0" collapsed="false">
      <c r="A9" s="1" t="n">
        <v>4</v>
      </c>
      <c r="B9" s="1" t="s">
        <v>145</v>
      </c>
      <c r="C9" s="1" t="n">
        <v>14</v>
      </c>
      <c r="D9" s="1" t="n">
        <v>8</v>
      </c>
      <c r="E9" s="1" t="n">
        <v>2</v>
      </c>
      <c r="F9" s="3" t="n">
        <v>5</v>
      </c>
      <c r="G9" s="3" t="n">
        <f aca="false">C9*D9/E9</f>
        <v>56</v>
      </c>
      <c r="H9" s="5" t="n">
        <f aca="false">F9*C9*D9/E9</f>
        <v>280</v>
      </c>
      <c r="I9" s="1" t="s">
        <v>146</v>
      </c>
      <c r="J9" s="4" t="s">
        <v>33</v>
      </c>
      <c r="K9" s="1" t="s">
        <v>147</v>
      </c>
    </row>
    <row r="10" customFormat="false" ht="15" hidden="false" customHeight="true" outlineLevel="0" collapsed="false">
      <c r="A10" s="1" t="n">
        <v>10</v>
      </c>
      <c r="B10" s="1" t="s">
        <v>148</v>
      </c>
      <c r="C10" s="1" t="n">
        <v>5</v>
      </c>
      <c r="D10" s="1" t="n">
        <v>9</v>
      </c>
      <c r="E10" s="1" t="n">
        <v>2</v>
      </c>
      <c r="F10" s="3" t="n">
        <v>5</v>
      </c>
      <c r="G10" s="3" t="n">
        <f aca="false">C10*D10/E10</f>
        <v>22.5</v>
      </c>
      <c r="H10" s="5" t="n">
        <f aca="false">F10*C10*D10/E10</f>
        <v>112.5</v>
      </c>
      <c r="I10" s="1" t="s">
        <v>149</v>
      </c>
      <c r="J10" s="4" t="s">
        <v>33</v>
      </c>
      <c r="K10" s="1" t="s">
        <v>150</v>
      </c>
    </row>
    <row r="11" customFormat="false" ht="15" hidden="false" customHeight="true" outlineLevel="0" collapsed="false">
      <c r="A11" s="1" t="n">
        <v>7</v>
      </c>
      <c r="B11" s="1" t="s">
        <v>151</v>
      </c>
      <c r="C11" s="1" t="n">
        <v>7</v>
      </c>
      <c r="D11" s="1" t="n">
        <v>7</v>
      </c>
      <c r="E11" s="1" t="n">
        <v>1</v>
      </c>
      <c r="F11" s="3" t="n">
        <v>4</v>
      </c>
      <c r="G11" s="3" t="n">
        <f aca="false">C11*D11/E11</f>
        <v>49</v>
      </c>
      <c r="H11" s="5" t="n">
        <f aca="false">F11*C11*D11/E11</f>
        <v>196</v>
      </c>
      <c r="I11" s="1" t="s">
        <v>152</v>
      </c>
      <c r="J11" s="4" t="s">
        <v>16</v>
      </c>
      <c r="K11" s="1" t="s">
        <v>153</v>
      </c>
    </row>
    <row r="12" customFormat="false" ht="15" hidden="false" customHeight="true" outlineLevel="0" collapsed="false">
      <c r="A12" s="1" t="n">
        <v>8</v>
      </c>
      <c r="B12" s="1" t="s">
        <v>154</v>
      </c>
      <c r="C12" s="1" t="n">
        <v>5</v>
      </c>
      <c r="D12" s="1" t="n">
        <v>7</v>
      </c>
      <c r="E12" s="1" t="n">
        <v>2</v>
      </c>
      <c r="F12" s="3" t="n">
        <v>4</v>
      </c>
      <c r="G12" s="3" t="n">
        <f aca="false">C12*D12/E12</f>
        <v>17.5</v>
      </c>
      <c r="H12" s="5" t="n">
        <f aca="false">F12*C12*D12/E12</f>
        <v>70</v>
      </c>
      <c r="I12" s="1" t="s">
        <v>155</v>
      </c>
      <c r="J12" s="4" t="s">
        <v>33</v>
      </c>
      <c r="K12" s="1" t="s">
        <v>156</v>
      </c>
    </row>
    <row r="13" customFormat="false" ht="15" hidden="false" customHeight="true" outlineLevel="0" collapsed="false">
      <c r="A13" s="1" t="n">
        <v>11</v>
      </c>
      <c r="B13" s="1" t="s">
        <v>157</v>
      </c>
      <c r="C13" s="1" t="n">
        <v>4</v>
      </c>
      <c r="D13" s="1" t="n">
        <v>6</v>
      </c>
      <c r="E13" s="1" t="n">
        <v>1</v>
      </c>
      <c r="F13" s="3" t="n">
        <v>3</v>
      </c>
      <c r="G13" s="3" t="n">
        <f aca="false">C13*D13/E13</f>
        <v>24</v>
      </c>
      <c r="H13" s="5" t="n">
        <f aca="false">F13*C13*D13/E13</f>
        <v>72</v>
      </c>
      <c r="I13" s="1" t="s">
        <v>158</v>
      </c>
      <c r="J13" s="4" t="s">
        <v>16</v>
      </c>
      <c r="K13" s="1" t="s">
        <v>159</v>
      </c>
    </row>
    <row r="14" customFormat="false" ht="15" hidden="false" customHeight="true" outlineLevel="0" collapsed="false">
      <c r="G14" s="4"/>
      <c r="J14" s="4"/>
    </row>
    <row r="15" customFormat="false" ht="15" hidden="false" customHeight="true" outlineLevel="0" collapsed="false">
      <c r="G15" s="4"/>
      <c r="J15" s="4"/>
    </row>
    <row r="16" customFormat="false" ht="15" hidden="false" customHeight="true" outlineLevel="0" collapsed="false">
      <c r="G16" s="4"/>
      <c r="J16" s="4"/>
    </row>
    <row r="17" customFormat="false" ht="15" hidden="false" customHeight="true" outlineLevel="0" collapsed="false">
      <c r="G17" s="4"/>
      <c r="J17" s="4"/>
    </row>
    <row r="18" customFormat="false" ht="15" hidden="false" customHeight="true" outlineLevel="0" collapsed="false">
      <c r="G18" s="4"/>
      <c r="J18" s="4"/>
    </row>
    <row r="19" customFormat="false" ht="15" hidden="false" customHeight="true" outlineLevel="0" collapsed="false">
      <c r="G19" s="4"/>
      <c r="J19" s="4"/>
    </row>
    <row r="20" customFormat="false" ht="15" hidden="false" customHeight="true" outlineLevel="0" collapsed="false">
      <c r="G20" s="4"/>
      <c r="J20" s="4"/>
    </row>
    <row r="21" customFormat="false" ht="15" hidden="false" customHeight="true" outlineLevel="0" collapsed="false">
      <c r="G21" s="4"/>
      <c r="J21" s="4"/>
    </row>
    <row r="22" customFormat="false" ht="15" hidden="false" customHeight="true" outlineLevel="0" collapsed="false">
      <c r="G22" s="4"/>
      <c r="J22" s="4"/>
    </row>
    <row r="23" customFormat="false" ht="15" hidden="false" customHeight="true" outlineLevel="0" collapsed="false">
      <c r="G23" s="4"/>
      <c r="J23" s="4"/>
    </row>
    <row r="24" customFormat="false" ht="15" hidden="false" customHeight="true" outlineLevel="0" collapsed="false">
      <c r="G24" s="4"/>
      <c r="J24" s="4"/>
    </row>
    <row r="25" customFormat="false" ht="15" hidden="false" customHeight="true" outlineLevel="0" collapsed="false">
      <c r="G25" s="4"/>
      <c r="J25" s="4"/>
    </row>
    <row r="26" customFormat="false" ht="15" hidden="false" customHeight="true" outlineLevel="0" collapsed="false">
      <c r="G26" s="4"/>
      <c r="J26" s="4"/>
    </row>
    <row r="27" customFormat="false" ht="15" hidden="false" customHeight="true" outlineLevel="0" collapsed="false">
      <c r="G27" s="4"/>
      <c r="J27" s="4"/>
    </row>
    <row r="28" customFormat="false" ht="15" hidden="false" customHeight="true" outlineLevel="0" collapsed="false">
      <c r="G28" s="4"/>
      <c r="J28" s="4"/>
    </row>
    <row r="29" customFormat="false" ht="15" hidden="false" customHeight="true" outlineLevel="0" collapsed="false">
      <c r="G29" s="4"/>
      <c r="J29" s="4"/>
    </row>
    <row r="30" customFormat="false" ht="15" hidden="false" customHeight="true" outlineLevel="0" collapsed="false">
      <c r="G30" s="4"/>
      <c r="J30" s="4"/>
    </row>
    <row r="31" customFormat="false" ht="15" hidden="false" customHeight="true" outlineLevel="0" collapsed="false">
      <c r="G31" s="4"/>
      <c r="J31" s="4"/>
    </row>
    <row r="32" customFormat="false" ht="15" hidden="false" customHeight="true" outlineLevel="0" collapsed="false">
      <c r="G32" s="4"/>
      <c r="J32" s="4"/>
    </row>
    <row r="33" customFormat="false" ht="15" hidden="false" customHeight="true" outlineLevel="0" collapsed="false">
      <c r="G33" s="4"/>
      <c r="J33" s="4"/>
    </row>
    <row r="34" customFormat="false" ht="15" hidden="false" customHeight="true" outlineLevel="0" collapsed="false">
      <c r="G34" s="4"/>
      <c r="J34" s="4"/>
    </row>
    <row r="35" customFormat="false" ht="15" hidden="false" customHeight="true" outlineLevel="0" collapsed="false">
      <c r="G35" s="4"/>
      <c r="J35" s="4"/>
    </row>
    <row r="36" customFormat="false" ht="15" hidden="false" customHeight="true" outlineLevel="0" collapsed="false">
      <c r="G36" s="4"/>
      <c r="J36" s="4"/>
    </row>
    <row r="37" customFormat="false" ht="15" hidden="false" customHeight="true" outlineLevel="0" collapsed="false">
      <c r="G37" s="4"/>
      <c r="J37" s="4"/>
    </row>
    <row r="38" customFormat="false" ht="15" hidden="false" customHeight="true" outlineLevel="0" collapsed="false">
      <c r="G38" s="4"/>
      <c r="J38" s="4"/>
    </row>
    <row r="39" customFormat="false" ht="15" hidden="false" customHeight="true" outlineLevel="0" collapsed="false">
      <c r="G39" s="4"/>
      <c r="J39" s="4"/>
    </row>
    <row r="40" customFormat="false" ht="15" hidden="false" customHeight="true" outlineLevel="0" collapsed="false">
      <c r="G40" s="4"/>
      <c r="J40" s="4"/>
    </row>
    <row r="41" customFormat="false" ht="15" hidden="false" customHeight="true" outlineLevel="0" collapsed="false">
      <c r="G41" s="4"/>
      <c r="J41" s="4"/>
    </row>
    <row r="42" customFormat="false" ht="15" hidden="false" customHeight="true" outlineLevel="0" collapsed="false">
      <c r="G42" s="4"/>
      <c r="J42" s="4"/>
    </row>
    <row r="43" customFormat="false" ht="15" hidden="false" customHeight="true" outlineLevel="0" collapsed="false">
      <c r="G43" s="4"/>
      <c r="J43" s="4"/>
    </row>
    <row r="44" customFormat="false" ht="15" hidden="false" customHeight="true" outlineLevel="0" collapsed="false">
      <c r="G44" s="4"/>
      <c r="J44" s="4"/>
    </row>
    <row r="45" customFormat="false" ht="15" hidden="false" customHeight="true" outlineLevel="0" collapsed="false">
      <c r="G45" s="4"/>
      <c r="J45" s="4"/>
    </row>
    <row r="46" customFormat="false" ht="15" hidden="false" customHeight="true" outlineLevel="0" collapsed="false">
      <c r="G46" s="4"/>
      <c r="J46" s="4"/>
    </row>
    <row r="47" customFormat="false" ht="15" hidden="false" customHeight="true" outlineLevel="0" collapsed="false">
      <c r="G47" s="4"/>
      <c r="J47" s="4"/>
    </row>
    <row r="48" customFormat="false" ht="15" hidden="false" customHeight="true" outlineLevel="0" collapsed="false">
      <c r="G48" s="4"/>
      <c r="J48" s="4"/>
    </row>
    <row r="49" customFormat="false" ht="15" hidden="false" customHeight="true" outlineLevel="0" collapsed="false">
      <c r="G49" s="4"/>
      <c r="J49" s="4"/>
    </row>
    <row r="50" customFormat="false" ht="15" hidden="false" customHeight="true" outlineLevel="0" collapsed="false">
      <c r="G50" s="4"/>
      <c r="J50" s="4"/>
    </row>
    <row r="51" customFormat="false" ht="15" hidden="false" customHeight="true" outlineLevel="0" collapsed="false">
      <c r="G51" s="4"/>
    </row>
    <row r="52" customFormat="false" ht="15" hidden="false" customHeight="true" outlineLevel="0" collapsed="false">
      <c r="G52" s="4"/>
    </row>
    <row r="53" customFormat="false" ht="15" hidden="false" customHeight="true" outlineLevel="0" collapsed="false">
      <c r="G53" s="4"/>
    </row>
    <row r="54" customFormat="false" ht="15" hidden="false" customHeight="true" outlineLevel="0" collapsed="false">
      <c r="G54" s="4"/>
    </row>
    <row r="55" customFormat="false" ht="15" hidden="false" customHeight="true" outlineLevel="0" collapsed="false">
      <c r="G55" s="4"/>
    </row>
    <row r="56" customFormat="false" ht="15" hidden="false" customHeight="true" outlineLevel="0" collapsed="false">
      <c r="G56" s="4"/>
    </row>
    <row r="57" customFormat="false" ht="15" hidden="false" customHeight="true" outlineLevel="0" collapsed="false">
      <c r="G57" s="4"/>
    </row>
    <row r="58" customFormat="false" ht="15" hidden="false" customHeight="true" outlineLevel="0" collapsed="false">
      <c r="G58" s="4"/>
    </row>
    <row r="59" customFormat="false" ht="15" hidden="false" customHeight="true" outlineLevel="0" collapsed="false">
      <c r="G59" s="4"/>
    </row>
    <row r="60" customFormat="false" ht="15" hidden="false" customHeight="true" outlineLevel="0" collapsed="false">
      <c r="G60" s="4"/>
    </row>
    <row r="61" customFormat="false" ht="15" hidden="false" customHeight="true" outlineLevel="0" collapsed="false">
      <c r="G61" s="4"/>
    </row>
    <row r="62" customFormat="false" ht="15" hidden="false" customHeight="true" outlineLevel="0" collapsed="false">
      <c r="G62" s="4"/>
    </row>
    <row r="63" customFormat="false" ht="15" hidden="false" customHeight="true" outlineLevel="0" collapsed="false">
      <c r="G63" s="4"/>
    </row>
    <row r="64" customFormat="false" ht="15" hidden="false" customHeight="true" outlineLevel="0" collapsed="false">
      <c r="G64" s="4"/>
    </row>
    <row r="65" customFormat="false" ht="15" hidden="false" customHeight="true" outlineLevel="0" collapsed="false">
      <c r="G65" s="4"/>
    </row>
    <row r="66" customFormat="false" ht="15" hidden="false" customHeight="true" outlineLevel="0" collapsed="false">
      <c r="G66" s="4"/>
    </row>
    <row r="67" customFormat="false" ht="15" hidden="false" customHeight="true" outlineLevel="0" collapsed="false">
      <c r="G67" s="4"/>
    </row>
    <row r="68" customFormat="false" ht="15" hidden="false" customHeight="true" outlineLevel="0" collapsed="false">
      <c r="G68" s="4"/>
    </row>
    <row r="69" customFormat="false" ht="15" hidden="false" customHeight="true" outlineLevel="0" collapsed="false">
      <c r="G69" s="4"/>
    </row>
    <row r="70" customFormat="false" ht="15" hidden="false" customHeight="true" outlineLevel="0" collapsed="false">
      <c r="G70" s="4"/>
    </row>
    <row r="71" customFormat="false" ht="15" hidden="false" customHeight="true" outlineLevel="0" collapsed="false">
      <c r="G71" s="4"/>
    </row>
    <row r="72" customFormat="false" ht="15" hidden="false" customHeight="true" outlineLevel="0" collapsed="false">
      <c r="G72" s="4"/>
    </row>
    <row r="73" customFormat="false" ht="15" hidden="false" customHeight="true" outlineLevel="0" collapsed="false">
      <c r="G73" s="4"/>
    </row>
    <row r="74" customFormat="false" ht="15" hidden="false" customHeight="true" outlineLevel="0" collapsed="false">
      <c r="G74" s="4"/>
    </row>
    <row r="75" customFormat="false" ht="15" hidden="false" customHeight="true" outlineLevel="0" collapsed="false">
      <c r="G75" s="4"/>
    </row>
    <row r="76" customFormat="false" ht="15" hidden="false" customHeight="true" outlineLevel="0" collapsed="false">
      <c r="G76" s="4"/>
    </row>
    <row r="77" customFormat="false" ht="15" hidden="false" customHeight="true" outlineLevel="0" collapsed="false">
      <c r="G77" s="4"/>
    </row>
    <row r="78" customFormat="false" ht="15" hidden="false" customHeight="true" outlineLevel="0" collapsed="false">
      <c r="G78" s="4"/>
    </row>
    <row r="79" customFormat="false" ht="15" hidden="false" customHeight="true" outlineLevel="0" collapsed="false">
      <c r="G79" s="4"/>
    </row>
    <row r="80" customFormat="false" ht="15" hidden="false" customHeight="true" outlineLevel="0" collapsed="false">
      <c r="G80" s="4"/>
    </row>
    <row r="81" customFormat="false" ht="15" hidden="false" customHeight="true" outlineLevel="0" collapsed="false">
      <c r="G81" s="4"/>
    </row>
    <row r="82" customFormat="false" ht="15" hidden="false" customHeight="true" outlineLevel="0" collapsed="false">
      <c r="G82" s="4"/>
    </row>
    <row r="83" customFormat="false" ht="15" hidden="false" customHeight="true" outlineLevel="0" collapsed="false">
      <c r="G83" s="4"/>
    </row>
    <row r="84" customFormat="false" ht="15" hidden="false" customHeight="true" outlineLevel="0" collapsed="false">
      <c r="G84" s="4"/>
    </row>
    <row r="85" customFormat="false" ht="15" hidden="false" customHeight="true" outlineLevel="0" collapsed="false">
      <c r="G85" s="4"/>
    </row>
    <row r="86" customFormat="false" ht="15" hidden="false" customHeight="true" outlineLevel="0" collapsed="false">
      <c r="G86" s="4"/>
    </row>
    <row r="87" customFormat="false" ht="15" hidden="false" customHeight="true" outlineLevel="0" collapsed="false">
      <c r="G87" s="4"/>
    </row>
    <row r="88" customFormat="false" ht="15" hidden="false" customHeight="true" outlineLevel="0" collapsed="false">
      <c r="G88" s="4"/>
    </row>
    <row r="89" customFormat="false" ht="15" hidden="false" customHeight="true" outlineLevel="0" collapsed="false">
      <c r="G89" s="4"/>
    </row>
    <row r="90" customFormat="false" ht="15" hidden="false" customHeight="true" outlineLevel="0" collapsed="false">
      <c r="G90" s="4"/>
    </row>
    <row r="91" customFormat="false" ht="15" hidden="false" customHeight="true" outlineLevel="0" collapsed="false">
      <c r="G91" s="4"/>
    </row>
    <row r="92" customFormat="false" ht="15" hidden="false" customHeight="true" outlineLevel="0" collapsed="false">
      <c r="G92" s="4"/>
    </row>
    <row r="93" customFormat="false" ht="15" hidden="false" customHeight="true" outlineLevel="0" collapsed="false">
      <c r="G93" s="4"/>
    </row>
    <row r="94" customFormat="false" ht="15" hidden="false" customHeight="true" outlineLevel="0" collapsed="false">
      <c r="G94" s="4"/>
    </row>
    <row r="95" customFormat="false" ht="15" hidden="false" customHeight="true" outlineLevel="0" collapsed="false">
      <c r="G95" s="4"/>
    </row>
    <row r="96" customFormat="false" ht="15" hidden="false" customHeight="true" outlineLevel="0" collapsed="false">
      <c r="G96" s="4"/>
    </row>
    <row r="97" customFormat="false" ht="15" hidden="false" customHeight="true" outlineLevel="0" collapsed="false">
      <c r="G97" s="4"/>
    </row>
    <row r="98" customFormat="false" ht="15" hidden="false" customHeight="true" outlineLevel="0" collapsed="false">
      <c r="G98" s="4"/>
    </row>
    <row r="99" customFormat="false" ht="15" hidden="false" customHeight="true" outlineLevel="0" collapsed="false">
      <c r="G99" s="4"/>
    </row>
    <row r="100" customFormat="false" ht="15" hidden="false" customHeight="true" outlineLevel="0" collapsed="false">
      <c r="G100" s="4"/>
    </row>
  </sheetData>
  <conditionalFormatting sqref="G2:G100">
    <cfRule type="cellIs" priority="2" operator="equal" aboveAverage="0" equalAverage="0" bottom="0" percent="0" rank="0" text="" dxfId="0">
      <formula>"MVP"</formula>
    </cfRule>
    <cfRule type="cellIs" priority="3" operator="equal" aboveAverage="0" equalAverage="0" bottom="0" percent="0" rank="0" text="" dxfId="1">
      <formula>"MVP+1"</formula>
    </cfRule>
    <cfRule type="cellIs" priority="4" operator="equal" aboveAverage="0" equalAverage="0" bottom="0" percent="0" rank="0" text="" dxfId="2">
      <formula>"MVP+2"</formula>
    </cfRule>
  </conditionalFormatting>
  <conditionalFormatting sqref="F2:F50">
    <cfRule type="cellIs" priority="5" operator="greaterThanOrEqual" aboveAverage="0" equalAverage="0" bottom="0" percent="0" rank="0" text="" dxfId="0">
      <formula>8</formula>
    </cfRule>
    <cfRule type="cellIs" priority="6" operator="between" aboveAverage="0" equalAverage="0" bottom="0" percent="0" rank="0" text="" dxfId="1">
      <formula>5</formula>
      <formula>7</formula>
    </cfRule>
    <cfRule type="cellIs" priority="7" operator="lessThanOrEqual" aboveAverage="0" equalAverage="0" bottom="0" percent="0" rank="0" text="" dxfId="2">
      <formula>4</formula>
    </cfRule>
  </conditionalFormatting>
  <conditionalFormatting sqref="J2:J50">
    <cfRule type="cellIs" priority="8" operator="equal" aboveAverage="0" equalAverage="0" bottom="0" percent="0" rank="0" text="" dxfId="0">
      <formula>"MVP"</formula>
    </cfRule>
    <cfRule type="cellIs" priority="9" operator="equal" aboveAverage="0" equalAverage="0" bottom="0" percent="0" rank="0" text="" dxfId="1">
      <formula>"MVP+1"</formula>
    </cfRule>
    <cfRule type="cellIs" priority="10" operator="equal" aboveAverage="0" equalAverage="0" bottom="0" percent="0" rank="0" text="" dxfId="2">
      <formula>"MVP+2"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42"/>
    <col collapsed="false" customWidth="true" hidden="false" outlineLevel="0" max="3" min="3" style="1" width="16"/>
    <col collapsed="false" customWidth="true" hidden="false" outlineLevel="0" max="4" min="4" style="1" width="22"/>
    <col collapsed="false" customWidth="true" hidden="false" outlineLevel="0" max="5" min="5" style="1" width="14"/>
    <col collapsed="false" customWidth="true" hidden="false" outlineLevel="0" max="6" min="6" style="1" width="50"/>
  </cols>
  <sheetData>
    <row r="1" customFormat="false" ht="15" hidden="false" customHeight="true" outlineLevel="0" collapsed="false">
      <c r="A1" s="6" t="s">
        <v>160</v>
      </c>
      <c r="B1" s="6" t="s">
        <v>1</v>
      </c>
      <c r="C1" s="6" t="s">
        <v>10</v>
      </c>
      <c r="D1" s="6" t="s">
        <v>11</v>
      </c>
      <c r="E1" s="6" t="s">
        <v>161</v>
      </c>
      <c r="F1" s="6" t="s">
        <v>12</v>
      </c>
    </row>
    <row r="2" customFormat="false" ht="15" hidden="false" customHeight="true" outlineLevel="0" collapsed="false">
      <c r="A2" s="7" t="s">
        <v>162</v>
      </c>
      <c r="B2" s="1" t="s">
        <v>163</v>
      </c>
      <c r="C2" s="1" t="s">
        <v>92</v>
      </c>
      <c r="D2" s="1" t="s">
        <v>93</v>
      </c>
      <c r="E2" s="1" t="s">
        <v>164</v>
      </c>
      <c r="F2" s="1" t="s">
        <v>165</v>
      </c>
    </row>
    <row r="3" customFormat="false" ht="15" hidden="false" customHeight="true" outlineLevel="0" collapsed="false">
      <c r="A3" s="7" t="s">
        <v>162</v>
      </c>
      <c r="B3" s="1" t="s">
        <v>166</v>
      </c>
      <c r="C3" s="1" t="s">
        <v>92</v>
      </c>
      <c r="D3" s="1" t="s">
        <v>83</v>
      </c>
      <c r="E3" s="1" t="s">
        <v>167</v>
      </c>
      <c r="F3" s="1" t="s">
        <v>168</v>
      </c>
    </row>
    <row r="4" customFormat="false" ht="15" hidden="false" customHeight="true" outlineLevel="0" collapsed="false">
      <c r="A4" s="7" t="s">
        <v>162</v>
      </c>
      <c r="B4" s="1" t="s">
        <v>169</v>
      </c>
      <c r="C4" s="1" t="s">
        <v>170</v>
      </c>
      <c r="D4" s="1" t="s">
        <v>171</v>
      </c>
      <c r="E4" s="1" t="s">
        <v>172</v>
      </c>
      <c r="F4" s="1" t="s">
        <v>173</v>
      </c>
    </row>
    <row r="5" customFormat="false" ht="15" hidden="false" customHeight="true" outlineLevel="0" collapsed="false">
      <c r="A5" s="7" t="s">
        <v>162</v>
      </c>
      <c r="B5" s="1" t="s">
        <v>174</v>
      </c>
      <c r="C5" s="1" t="s">
        <v>92</v>
      </c>
      <c r="D5" s="1" t="s">
        <v>106</v>
      </c>
      <c r="E5" s="1" t="s">
        <v>164</v>
      </c>
      <c r="F5" s="1" t="s">
        <v>175</v>
      </c>
    </row>
    <row r="6" customFormat="false" ht="15" hidden="false" customHeight="true" outlineLevel="0" collapsed="false">
      <c r="A6" s="8" t="s">
        <v>176</v>
      </c>
      <c r="B6" s="1" t="s">
        <v>177</v>
      </c>
      <c r="C6" s="1" t="s">
        <v>110</v>
      </c>
      <c r="D6" s="1" t="s">
        <v>106</v>
      </c>
      <c r="E6" s="1" t="s">
        <v>167</v>
      </c>
      <c r="F6" s="1" t="s">
        <v>178</v>
      </c>
    </row>
    <row r="7" customFormat="false" ht="15" hidden="false" customHeight="true" outlineLevel="0" collapsed="false">
      <c r="A7" s="8" t="s">
        <v>176</v>
      </c>
      <c r="B7" s="1" t="s">
        <v>179</v>
      </c>
      <c r="C7" s="1" t="s">
        <v>92</v>
      </c>
      <c r="D7" s="1" t="s">
        <v>180</v>
      </c>
      <c r="E7" s="1" t="s">
        <v>181</v>
      </c>
      <c r="F7" s="1" t="s">
        <v>182</v>
      </c>
    </row>
    <row r="8" customFormat="false" ht="15" hidden="false" customHeight="true" outlineLevel="0" collapsed="false">
      <c r="A8" s="8" t="s">
        <v>176</v>
      </c>
      <c r="B8" s="1" t="s">
        <v>183</v>
      </c>
      <c r="C8" s="1" t="s">
        <v>92</v>
      </c>
      <c r="D8" s="1" t="s">
        <v>106</v>
      </c>
      <c r="E8" s="1" t="s">
        <v>181</v>
      </c>
      <c r="F8" s="1" t="s">
        <v>184</v>
      </c>
    </row>
    <row r="9" customFormat="false" ht="15" hidden="false" customHeight="true" outlineLevel="0" collapsed="false">
      <c r="A9" s="9" t="s">
        <v>71</v>
      </c>
      <c r="B9" s="1" t="s">
        <v>185</v>
      </c>
      <c r="C9" s="1" t="s">
        <v>92</v>
      </c>
      <c r="D9" s="1" t="s">
        <v>97</v>
      </c>
      <c r="E9" s="1" t="s">
        <v>186</v>
      </c>
      <c r="F9" s="1" t="s">
        <v>187</v>
      </c>
    </row>
    <row r="10" customFormat="false" ht="15" hidden="false" customHeight="true" outlineLevel="0" collapsed="false">
      <c r="A10" s="9" t="s">
        <v>71</v>
      </c>
      <c r="B10" s="1" t="s">
        <v>188</v>
      </c>
      <c r="C10" s="1" t="s">
        <v>105</v>
      </c>
      <c r="D10" s="1" t="s">
        <v>180</v>
      </c>
      <c r="E10" s="1" t="s">
        <v>189</v>
      </c>
      <c r="F10" s="1" t="s">
        <v>190</v>
      </c>
    </row>
    <row r="11" customFormat="false" ht="15" hidden="false" customHeight="true" outlineLevel="0" collapsed="false">
      <c r="A11" s="9" t="s">
        <v>71</v>
      </c>
      <c r="B11" s="1" t="s">
        <v>191</v>
      </c>
      <c r="C11" s="1" t="s">
        <v>192</v>
      </c>
      <c r="D11" s="1" t="s">
        <v>88</v>
      </c>
      <c r="E11" s="1" t="s">
        <v>193</v>
      </c>
      <c r="F11" s="1" t="s">
        <v>194</v>
      </c>
    </row>
    <row r="12" customFormat="false" ht="15" hidden="false" customHeight="true" outlineLevel="0" collapsed="false">
      <c r="A12" s="9" t="s">
        <v>71</v>
      </c>
      <c r="B12" s="1" t="s">
        <v>195</v>
      </c>
      <c r="C12" s="1" t="s">
        <v>92</v>
      </c>
      <c r="D12" s="1" t="s">
        <v>101</v>
      </c>
      <c r="E12" s="1" t="s">
        <v>196</v>
      </c>
      <c r="F12" s="1" t="s">
        <v>197</v>
      </c>
    </row>
    <row r="13" customFormat="false" ht="15" hidden="false" customHeight="true" outlineLevel="0" collapsed="false">
      <c r="A13" s="10" t="s">
        <v>198</v>
      </c>
      <c r="B13" s="1" t="s">
        <v>199</v>
      </c>
      <c r="C13" s="1" t="s">
        <v>200</v>
      </c>
      <c r="D13" s="1" t="s">
        <v>201</v>
      </c>
      <c r="E13" s="1" t="s">
        <v>170</v>
      </c>
      <c r="F13" s="1" t="s">
        <v>202</v>
      </c>
    </row>
    <row r="14" customFormat="false" ht="15" hidden="false" customHeight="true" outlineLevel="0" collapsed="false">
      <c r="A14" s="10" t="s">
        <v>198</v>
      </c>
      <c r="B14" s="1" t="s">
        <v>203</v>
      </c>
      <c r="C14" s="1" t="s">
        <v>170</v>
      </c>
      <c r="D14" s="1" t="s">
        <v>201</v>
      </c>
      <c r="E14" s="1" t="s">
        <v>172</v>
      </c>
      <c r="F14" s="1" t="s">
        <v>204</v>
      </c>
    </row>
    <row r="15" customFormat="false" ht="15" hidden="false" customHeight="true" outlineLevel="0" collapsed="false">
      <c r="A15" s="10" t="s">
        <v>198</v>
      </c>
      <c r="B15" s="1" t="s">
        <v>205</v>
      </c>
      <c r="C15" s="1" t="s">
        <v>170</v>
      </c>
      <c r="D15" s="1" t="s">
        <v>201</v>
      </c>
      <c r="E15" s="1" t="s">
        <v>172</v>
      </c>
      <c r="F15" s="1" t="s">
        <v>206</v>
      </c>
    </row>
    <row r="16" customFormat="false" ht="15" hidden="false" customHeight="true" outlineLevel="0" collapsed="false">
      <c r="A16" s="11" t="s">
        <v>207</v>
      </c>
      <c r="B16" s="1" t="s">
        <v>208</v>
      </c>
      <c r="C16" s="1" t="s">
        <v>92</v>
      </c>
      <c r="D16" s="1" t="s">
        <v>68</v>
      </c>
      <c r="E16" s="1" t="s">
        <v>181</v>
      </c>
      <c r="F16" s="1" t="s">
        <v>209</v>
      </c>
    </row>
    <row r="17" customFormat="false" ht="15" hidden="false" customHeight="true" outlineLevel="0" collapsed="false">
      <c r="A17" s="11" t="s">
        <v>207</v>
      </c>
      <c r="B17" s="1" t="s">
        <v>210</v>
      </c>
      <c r="C17" s="1" t="s">
        <v>92</v>
      </c>
      <c r="D17" s="1" t="s">
        <v>68</v>
      </c>
      <c r="E17" s="1" t="s">
        <v>181</v>
      </c>
      <c r="F17" s="1" t="s">
        <v>211</v>
      </c>
    </row>
    <row r="18" customFormat="false" ht="15" hidden="false" customHeight="true" outlineLevel="0" collapsed="false">
      <c r="A18" s="12" t="s">
        <v>212</v>
      </c>
      <c r="B18" s="1" t="s">
        <v>213</v>
      </c>
      <c r="C18" s="1" t="s">
        <v>92</v>
      </c>
      <c r="D18" s="1" t="s">
        <v>180</v>
      </c>
      <c r="E18" s="1" t="s">
        <v>189</v>
      </c>
      <c r="F18" s="1" t="s">
        <v>214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4" min="2" style="1" width="22"/>
    <col collapsed="false" customWidth="true" hidden="false" outlineLevel="0" max="5" min="5" style="1" width="14"/>
    <col collapsed="false" customWidth="true" hidden="false" outlineLevel="0" max="6" min="6" style="0" width="36"/>
  </cols>
  <sheetData>
    <row r="1" customFormat="false" ht="17.25" hidden="false" customHeight="true" outlineLevel="0" collapsed="false">
      <c r="A1" s="13" t="s">
        <v>215</v>
      </c>
      <c r="B1" s="13"/>
      <c r="C1" s="13"/>
      <c r="D1" s="13"/>
      <c r="E1" s="13"/>
    </row>
    <row r="3" customFormat="false" ht="15" hidden="false" customHeight="true" outlineLevel="0" collapsed="false">
      <c r="A3" s="14" t="s">
        <v>216</v>
      </c>
    </row>
    <row r="4" customFormat="false" ht="15" hidden="false" customHeight="true" outlineLevel="0" collapsed="false">
      <c r="A4" s="1" t="s">
        <v>217</v>
      </c>
      <c r="B4" s="1" t="n">
        <v>762</v>
      </c>
    </row>
    <row r="5" customFormat="false" ht="15" hidden="false" customHeight="true" outlineLevel="0" collapsed="false">
      <c r="A5" s="1" t="s">
        <v>218</v>
      </c>
      <c r="B5" s="1" t="n">
        <v>409</v>
      </c>
    </row>
    <row r="6" customFormat="false" ht="15" hidden="false" customHeight="true" outlineLevel="0" collapsed="false">
      <c r="A6" s="1" t="s">
        <v>219</v>
      </c>
      <c r="B6" s="14" t="n">
        <f aca="false">B4+B5</f>
        <v>1171</v>
      </c>
    </row>
    <row r="8" customFormat="false" ht="15" hidden="false" customHeight="true" outlineLevel="0" collapsed="false">
      <c r="A8" s="14" t="s">
        <v>220</v>
      </c>
    </row>
    <row r="9" customFormat="false" ht="15" hidden="false" customHeight="true" outlineLevel="0" collapsed="false">
      <c r="A9" s="1" t="s">
        <v>221</v>
      </c>
      <c r="B9" s="1" t="n">
        <v>400</v>
      </c>
    </row>
    <row r="10" customFormat="false" ht="15" hidden="false" customHeight="true" outlineLevel="0" collapsed="false">
      <c r="A10" s="1" t="s">
        <v>222</v>
      </c>
      <c r="B10" s="15" t="n">
        <f aca="false">B9/B6</f>
        <v>0.341588385994876</v>
      </c>
    </row>
    <row r="11" customFormat="false" ht="15" hidden="false" customHeight="true" outlineLevel="0" collapsed="false">
      <c r="A11" s="1" t="s">
        <v>223</v>
      </c>
      <c r="B11" s="16" t="n">
        <v>52000</v>
      </c>
    </row>
    <row r="12" customFormat="false" ht="15" hidden="false" customHeight="true" outlineLevel="0" collapsed="false">
      <c r="A12" s="1" t="s">
        <v>224</v>
      </c>
      <c r="B12" s="16" t="n">
        <f aca="false">B11/B9</f>
        <v>130</v>
      </c>
    </row>
    <row r="14" customFormat="false" ht="15" hidden="false" customHeight="true" outlineLevel="0" collapsed="false">
      <c r="A14" s="14" t="s">
        <v>225</v>
      </c>
    </row>
    <row r="15" customFormat="false" ht="15" hidden="false" customHeight="true" outlineLevel="0" collapsed="false">
      <c r="A15" s="17" t="s">
        <v>226</v>
      </c>
      <c r="B15" s="17" t="s">
        <v>227</v>
      </c>
      <c r="C15" s="17" t="s">
        <v>228</v>
      </c>
      <c r="D15" s="17" t="s">
        <v>229</v>
      </c>
      <c r="E15" s="17" t="s">
        <v>230</v>
      </c>
      <c r="F15" s="18" t="s">
        <v>231</v>
      </c>
    </row>
    <row r="16" customFormat="false" ht="15" hidden="false" customHeight="true" outlineLevel="0" collapsed="false">
      <c r="A16" s="1" t="s">
        <v>232</v>
      </c>
      <c r="B16" s="19" t="n">
        <v>0.6</v>
      </c>
      <c r="C16" s="19" t="n">
        <v>0.35</v>
      </c>
      <c r="D16" s="19" t="n">
        <v>0.05</v>
      </c>
      <c r="E16" s="16" t="n">
        <f aca="false">B16*299+C16*499+D16*699</f>
        <v>389</v>
      </c>
      <c r="F16" s="0" t="s">
        <v>233</v>
      </c>
    </row>
    <row r="17" customFormat="false" ht="15" hidden="false" customHeight="true" outlineLevel="0" collapsed="false">
      <c r="A17" s="1" t="s">
        <v>234</v>
      </c>
      <c r="B17" s="19" t="n">
        <v>0.4</v>
      </c>
      <c r="C17" s="19" t="n">
        <v>0.5</v>
      </c>
      <c r="D17" s="19" t="n">
        <v>0.1</v>
      </c>
      <c r="E17" s="16" t="n">
        <f aca="false">B17*299+C17*499+D17*699</f>
        <v>439</v>
      </c>
      <c r="F17" s="0" t="s">
        <v>235</v>
      </c>
    </row>
    <row r="18" customFormat="false" ht="15" hidden="false" customHeight="true" outlineLevel="0" collapsed="false">
      <c r="A18" s="1" t="s">
        <v>236</v>
      </c>
      <c r="B18" s="19" t="n">
        <v>0.2</v>
      </c>
      <c r="C18" s="19" t="n">
        <v>0.55</v>
      </c>
      <c r="D18" s="19" t="n">
        <v>0.25</v>
      </c>
      <c r="E18" s="16" t="n">
        <f aca="false">B18*299+C18*499+D18*699</f>
        <v>509</v>
      </c>
      <c r="F18" s="0" t="s">
        <v>237</v>
      </c>
    </row>
    <row r="20" customFormat="false" ht="15" hidden="false" customHeight="true" outlineLevel="0" collapsed="false">
      <c r="A20" s="14" t="s">
        <v>238</v>
      </c>
    </row>
    <row r="21" customFormat="false" ht="15" hidden="false" customHeight="true" outlineLevel="0" collapsed="false">
      <c r="A21" s="17" t="s">
        <v>239</v>
      </c>
      <c r="B21" s="17" t="s">
        <v>240</v>
      </c>
      <c r="C21" s="17" t="s">
        <v>241</v>
      </c>
      <c r="D21" s="17" t="s">
        <v>242</v>
      </c>
    </row>
    <row r="22" customFormat="false" ht="15" hidden="false" customHeight="true" outlineLevel="0" collapsed="false">
      <c r="A22" s="1" t="s">
        <v>243</v>
      </c>
      <c r="B22" s="1" t="n">
        <v>80</v>
      </c>
      <c r="C22" s="16" t="n">
        <f aca="false">B22*$E$16</f>
        <v>31120</v>
      </c>
      <c r="D22" s="16" t="n">
        <f aca="false">B22*$E$17</f>
        <v>35120</v>
      </c>
    </row>
    <row r="23" customFormat="false" ht="15" hidden="false" customHeight="true" outlineLevel="0" collapsed="false">
      <c r="A23" s="1" t="s">
        <v>244</v>
      </c>
      <c r="B23" s="1" t="n">
        <v>200</v>
      </c>
      <c r="C23" s="16" t="n">
        <f aca="false">B23*$E$16</f>
        <v>77800</v>
      </c>
      <c r="D23" s="16" t="n">
        <f aca="false">B23*$E$17</f>
        <v>87800</v>
      </c>
    </row>
    <row r="24" customFormat="false" ht="15" hidden="false" customHeight="true" outlineLevel="0" collapsed="false">
      <c r="A24" s="1" t="s">
        <v>245</v>
      </c>
      <c r="B24" s="1" t="n">
        <v>400</v>
      </c>
      <c r="C24" s="16" t="n">
        <f aca="false">B24*$E$16</f>
        <v>155600</v>
      </c>
      <c r="D24" s="16" t="n">
        <f aca="false">B24*$E$17</f>
        <v>175600</v>
      </c>
    </row>
    <row r="26" customFormat="false" ht="15" hidden="false" customHeight="true" outlineLevel="0" collapsed="false">
      <c r="A26" s="14" t="s">
        <v>246</v>
      </c>
      <c r="B26" s="20" t="str">
        <f aca="false">IF(D24&gt;=B11,"YES ✓","NO ✗")</f>
        <v>YES ✓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2026-05-05T03:42:32Z</dcterms:created>
  <dc:creator>openpyxl</dc:creator>
  <dc:description/>
  <dc:language>en-US</dc:language>
  <cp:lastModifiedBy/>
  <dcterms:modified xsi:type="dcterms:W3CDTF">2026-05-08T03:51:51Z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